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60" windowWidth="18240" windowHeight="11760" tabRatio="920" activeTab="8"/>
  </bookViews>
  <sheets>
    <sheet name="FORMAT_f" sheetId="10" r:id="rId1"/>
    <sheet name="FORMAT_V" sheetId="1" r:id="rId2"/>
    <sheet name="FORMAT_I" sheetId="17" r:id="rId3"/>
    <sheet name="FORMAT_P" sheetId="18" r:id="rId4"/>
    <sheet name="FORMAT_Q" sheetId="8" r:id="rId5"/>
    <sheet name="FORMAT_HAR_I" sheetId="6" r:id="rId6"/>
    <sheet name="FORMAT_HAR_V" sheetId="19" r:id="rId7"/>
    <sheet name="FORMAT_FLK" sheetId="7" r:id="rId8"/>
    <sheet name="f" sheetId="12" r:id="rId9"/>
    <sheet name="V" sheetId="2" r:id="rId10"/>
    <sheet name="I" sheetId="14" r:id="rId11"/>
    <sheet name="P" sheetId="13" r:id="rId12"/>
    <sheet name="Q" sheetId="3" r:id="rId13"/>
    <sheet name="HAR_I" sheetId="16" r:id="rId14"/>
    <sheet name="HAR_V" sheetId="11" r:id="rId15"/>
    <sheet name="FLK" sheetId="5" r:id="rId16"/>
  </sheets>
  <calcPr calcId="125725"/>
</workbook>
</file>

<file path=xl/calcChain.xml><?xml version="1.0" encoding="utf-8"?>
<calcChain xmlns="http://schemas.openxmlformats.org/spreadsheetml/2006/main">
  <c r="AC33" i="5"/>
  <c r="AC32"/>
  <c r="AC31"/>
  <c r="AC30"/>
  <c r="AC29"/>
  <c r="AC28"/>
  <c r="AC27"/>
  <c r="AC22"/>
  <c r="AC21"/>
  <c r="AC20"/>
  <c r="AC19"/>
  <c r="AC18"/>
  <c r="AC17"/>
  <c r="AC16"/>
  <c r="AC6"/>
  <c r="AC7"/>
  <c r="AC8"/>
  <c r="AC9"/>
  <c r="AC10"/>
  <c r="AC11"/>
  <c r="AC5"/>
  <c r="E170" i="11" l="1"/>
  <c r="D170"/>
  <c r="E169"/>
  <c r="D169"/>
  <c r="E168"/>
  <c r="D168"/>
  <c r="E167"/>
  <c r="D167"/>
  <c r="E166"/>
  <c r="D166"/>
  <c r="E165"/>
  <c r="D165"/>
  <c r="E164"/>
  <c r="D164"/>
  <c r="E163"/>
  <c r="D163"/>
  <c r="E162"/>
  <c r="D162"/>
  <c r="E161"/>
  <c r="D161"/>
  <c r="E160"/>
  <c r="D160"/>
  <c r="E159"/>
  <c r="D159"/>
  <c r="E158"/>
  <c r="D158"/>
  <c r="E157"/>
  <c r="D157"/>
  <c r="E156"/>
  <c r="D156"/>
  <c r="E155"/>
  <c r="D155"/>
  <c r="E154"/>
  <c r="D154"/>
  <c r="E153"/>
  <c r="D153"/>
  <c r="E152"/>
  <c r="D152"/>
  <c r="E151"/>
  <c r="D151"/>
  <c r="E150"/>
  <c r="D150"/>
  <c r="E149"/>
  <c r="D149"/>
  <c r="E148"/>
  <c r="D148"/>
  <c r="E147"/>
  <c r="D147"/>
  <c r="E146"/>
  <c r="D146"/>
  <c r="E145"/>
  <c r="D145"/>
  <c r="E144"/>
  <c r="D144"/>
  <c r="E143"/>
  <c r="D143"/>
  <c r="E142"/>
  <c r="D142"/>
  <c r="E141"/>
  <c r="D141"/>
  <c r="E140"/>
  <c r="D140"/>
  <c r="E139"/>
  <c r="D139"/>
  <c r="E138"/>
  <c r="D138"/>
  <c r="E137"/>
  <c r="D137"/>
  <c r="E136"/>
  <c r="D136"/>
  <c r="E135"/>
  <c r="D135"/>
  <c r="E134"/>
  <c r="D134"/>
  <c r="E133"/>
  <c r="D133"/>
  <c r="E132"/>
  <c r="D132"/>
  <c r="E131"/>
  <c r="D131"/>
  <c r="E130"/>
  <c r="D130"/>
  <c r="E129"/>
  <c r="D129"/>
  <c r="E128"/>
  <c r="D128"/>
  <c r="E127"/>
  <c r="D127"/>
  <c r="E126"/>
  <c r="D126"/>
  <c r="E125"/>
  <c r="D125"/>
  <c r="E124"/>
  <c r="D124"/>
  <c r="E123"/>
  <c r="D123"/>
  <c r="E122"/>
  <c r="D122"/>
  <c r="E121"/>
  <c r="D121"/>
  <c r="E112"/>
  <c r="D112"/>
  <c r="E111"/>
  <c r="D111"/>
  <c r="E110"/>
  <c r="D110"/>
  <c r="E109"/>
  <c r="D109"/>
  <c r="E108"/>
  <c r="D108"/>
  <c r="E107"/>
  <c r="D107"/>
  <c r="E106"/>
  <c r="D106"/>
  <c r="E105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M6" i="8" l="1"/>
  <c r="O41" i="13"/>
  <c r="O40"/>
  <c r="O39"/>
  <c r="O38"/>
  <c r="O37"/>
  <c r="O36"/>
  <c r="O35"/>
  <c r="O34"/>
  <c r="O33"/>
  <c r="O27"/>
  <c r="O26"/>
  <c r="O25"/>
  <c r="O24"/>
  <c r="O23"/>
  <c r="O22"/>
  <c r="O21"/>
  <c r="O20"/>
  <c r="O19"/>
  <c r="O13"/>
  <c r="O12"/>
  <c r="O11"/>
  <c r="O10"/>
  <c r="O9"/>
  <c r="O8"/>
  <c r="O7"/>
  <c r="O6"/>
  <c r="O5"/>
  <c r="I41"/>
  <c r="I40"/>
  <c r="I39"/>
  <c r="I38"/>
  <c r="I37"/>
  <c r="I36"/>
  <c r="I35"/>
  <c r="I34"/>
  <c r="I33"/>
  <c r="I27"/>
  <c r="I26"/>
  <c r="I25"/>
  <c r="I24"/>
  <c r="I23"/>
  <c r="I22"/>
  <c r="I21"/>
  <c r="I20"/>
  <c r="I19"/>
  <c r="I13"/>
  <c r="I12"/>
  <c r="I11"/>
  <c r="I10"/>
  <c r="I9"/>
  <c r="I8"/>
  <c r="I7"/>
  <c r="I6"/>
  <c r="I5"/>
  <c r="H41"/>
  <c r="H40"/>
  <c r="H39"/>
  <c r="H38"/>
  <c r="H37"/>
  <c r="H36"/>
  <c r="H35"/>
  <c r="H34"/>
  <c r="H33"/>
  <c r="H27"/>
  <c r="H26"/>
  <c r="H25"/>
  <c r="H24"/>
  <c r="H23"/>
  <c r="H22"/>
  <c r="H21"/>
  <c r="H20"/>
  <c r="H19"/>
  <c r="H13"/>
  <c r="H12"/>
  <c r="H11"/>
  <c r="H10"/>
  <c r="H9"/>
  <c r="H8"/>
  <c r="H7"/>
  <c r="H6"/>
  <c r="H5"/>
  <c r="G41"/>
  <c r="G40"/>
  <c r="G39"/>
  <c r="G38"/>
  <c r="G37"/>
  <c r="G36"/>
  <c r="G35"/>
  <c r="G34"/>
  <c r="G33"/>
  <c r="G27"/>
  <c r="G26"/>
  <c r="G25"/>
  <c r="G24"/>
  <c r="G23"/>
  <c r="G22"/>
  <c r="G21"/>
  <c r="G20"/>
  <c r="G19"/>
  <c r="G13"/>
  <c r="G12"/>
  <c r="G11"/>
  <c r="G10"/>
  <c r="G9"/>
  <c r="G8"/>
  <c r="G7"/>
  <c r="G6"/>
  <c r="G5"/>
  <c r="F41"/>
  <c r="E41"/>
  <c r="D41"/>
  <c r="C41"/>
  <c r="B41"/>
  <c r="F40"/>
  <c r="E40"/>
  <c r="D40"/>
  <c r="C40"/>
  <c r="B40"/>
  <c r="F39"/>
  <c r="E39"/>
  <c r="D39"/>
  <c r="C39"/>
  <c r="B39"/>
  <c r="F38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3"/>
  <c r="F12"/>
  <c r="F11"/>
  <c r="F10"/>
  <c r="F9"/>
  <c r="F8"/>
  <c r="F7"/>
  <c r="F6"/>
  <c r="F5"/>
  <c r="E13"/>
  <c r="E12"/>
  <c r="E11"/>
  <c r="E10"/>
  <c r="E9"/>
  <c r="E8"/>
  <c r="E7"/>
  <c r="E6"/>
  <c r="E5"/>
  <c r="D13"/>
  <c r="D12"/>
  <c r="D11"/>
  <c r="D10"/>
  <c r="D9"/>
  <c r="D8"/>
  <c r="D7"/>
  <c r="D6"/>
  <c r="D5"/>
  <c r="C13"/>
  <c r="C12"/>
  <c r="C11"/>
  <c r="C10"/>
  <c r="C9"/>
  <c r="C8"/>
  <c r="C7"/>
  <c r="C6"/>
  <c r="C5"/>
  <c r="B13"/>
  <c r="B12"/>
  <c r="B11"/>
  <c r="B10"/>
  <c r="B9"/>
  <c r="B8"/>
  <c r="B7"/>
  <c r="B6"/>
  <c r="B5"/>
  <c r="K35" i="14"/>
  <c r="K34"/>
  <c r="K33"/>
  <c r="K32"/>
  <c r="K31"/>
  <c r="K30"/>
  <c r="K29"/>
  <c r="K23"/>
  <c r="K22"/>
  <c r="K21"/>
  <c r="K20"/>
  <c r="K19"/>
  <c r="K18"/>
  <c r="K17"/>
  <c r="K11"/>
  <c r="K10"/>
  <c r="K9"/>
  <c r="K8"/>
  <c r="K7"/>
  <c r="K6"/>
  <c r="K5"/>
  <c r="E35"/>
  <c r="E34"/>
  <c r="E33"/>
  <c r="E32"/>
  <c r="E31"/>
  <c r="E30"/>
  <c r="E29"/>
  <c r="E23"/>
  <c r="E22"/>
  <c r="E21"/>
  <c r="E20"/>
  <c r="E19"/>
  <c r="E18"/>
  <c r="E17"/>
  <c r="E11"/>
  <c r="E10"/>
  <c r="E9"/>
  <c r="E8"/>
  <c r="E7"/>
  <c r="E6"/>
  <c r="E5"/>
  <c r="D35"/>
  <c r="D34"/>
  <c r="D33"/>
  <c r="D32"/>
  <c r="D31"/>
  <c r="D30"/>
  <c r="D29"/>
  <c r="D23"/>
  <c r="D22"/>
  <c r="D21"/>
  <c r="D20"/>
  <c r="D19"/>
  <c r="D18"/>
  <c r="D17"/>
  <c r="D11"/>
  <c r="D10"/>
  <c r="D9"/>
  <c r="D8"/>
  <c r="D7"/>
  <c r="D6"/>
  <c r="D5"/>
  <c r="C35"/>
  <c r="C34"/>
  <c r="C33"/>
  <c r="C32"/>
  <c r="C31"/>
  <c r="C30"/>
  <c r="C29"/>
  <c r="B5"/>
  <c r="C23"/>
  <c r="C22"/>
  <c r="C21"/>
  <c r="C20"/>
  <c r="C19"/>
  <c r="C18"/>
  <c r="C17"/>
  <c r="B35"/>
  <c r="B34"/>
  <c r="B33"/>
  <c r="B32"/>
  <c r="B31"/>
  <c r="B30"/>
  <c r="B29"/>
  <c r="B23"/>
  <c r="B22"/>
  <c r="B21"/>
  <c r="B20"/>
  <c r="B19"/>
  <c r="B18"/>
  <c r="B17"/>
  <c r="C11"/>
  <c r="C10"/>
  <c r="C9"/>
  <c r="C8"/>
  <c r="C7"/>
  <c r="C6"/>
  <c r="C5"/>
  <c r="B11"/>
  <c r="B10"/>
  <c r="B9"/>
  <c r="B8"/>
  <c r="B7"/>
  <c r="B6"/>
  <c r="C162" i="11" l="1"/>
  <c r="C163"/>
  <c r="C164"/>
  <c r="C165"/>
  <c r="C166"/>
  <c r="C167"/>
  <c r="C168"/>
  <c r="C169"/>
  <c r="C170"/>
  <c r="C16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21"/>
  <c r="C46"/>
  <c r="C47"/>
  <c r="C48"/>
  <c r="C49"/>
  <c r="C50"/>
  <c r="C51"/>
  <c r="C52"/>
  <c r="C53"/>
  <c r="C54"/>
  <c r="C45"/>
  <c r="C104"/>
  <c r="C105"/>
  <c r="C106"/>
  <c r="C107"/>
  <c r="C108"/>
  <c r="C109"/>
  <c r="C110"/>
  <c r="C111"/>
  <c r="C112"/>
  <c r="C10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63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5"/>
  <c r="C115" l="1"/>
  <c r="C173"/>
  <c r="C171"/>
  <c r="M42"/>
  <c r="F42"/>
  <c r="M34"/>
  <c r="F34"/>
  <c r="M26"/>
  <c r="F26"/>
  <c r="M18"/>
  <c r="F18"/>
  <c r="M10"/>
  <c r="F10"/>
  <c r="M100"/>
  <c r="F100"/>
  <c r="M92"/>
  <c r="F92"/>
  <c r="M84"/>
  <c r="F84"/>
  <c r="M76"/>
  <c r="F76"/>
  <c r="M68"/>
  <c r="F68"/>
  <c r="M111"/>
  <c r="F111"/>
  <c r="F45"/>
  <c r="M45"/>
  <c r="M47"/>
  <c r="F47"/>
  <c r="F155"/>
  <c r="M155"/>
  <c r="F147"/>
  <c r="M147"/>
  <c r="F139"/>
  <c r="M139"/>
  <c r="F131"/>
  <c r="M131"/>
  <c r="F123"/>
  <c r="M123"/>
  <c r="F166"/>
  <c r="M166"/>
  <c r="M43"/>
  <c r="F43"/>
  <c r="M35"/>
  <c r="F35"/>
  <c r="M27"/>
  <c r="F27"/>
  <c r="M19"/>
  <c r="F19"/>
  <c r="M11"/>
  <c r="F11"/>
  <c r="M101"/>
  <c r="F101"/>
  <c r="M93"/>
  <c r="F93"/>
  <c r="M85"/>
  <c r="F85"/>
  <c r="M77"/>
  <c r="F77"/>
  <c r="M69"/>
  <c r="F69"/>
  <c r="M112"/>
  <c r="F112"/>
  <c r="M104"/>
  <c r="F104"/>
  <c r="M48"/>
  <c r="F48"/>
  <c r="M156"/>
  <c r="F156"/>
  <c r="M148"/>
  <c r="F148"/>
  <c r="M140"/>
  <c r="F140"/>
  <c r="M132"/>
  <c r="F132"/>
  <c r="M124"/>
  <c r="F124"/>
  <c r="M167"/>
  <c r="F167"/>
  <c r="M163"/>
  <c r="F163"/>
  <c r="M40"/>
  <c r="F40"/>
  <c r="M32"/>
  <c r="F32"/>
  <c r="M20"/>
  <c r="F20"/>
  <c r="C57"/>
  <c r="F5"/>
  <c r="M5"/>
  <c r="F41"/>
  <c r="M41"/>
  <c r="F37"/>
  <c r="M37"/>
  <c r="F33"/>
  <c r="M33"/>
  <c r="F29"/>
  <c r="M29"/>
  <c r="F25"/>
  <c r="M25"/>
  <c r="F21"/>
  <c r="M21"/>
  <c r="F17"/>
  <c r="M17"/>
  <c r="F13"/>
  <c r="M13"/>
  <c r="F9"/>
  <c r="M9"/>
  <c r="F63"/>
  <c r="M63"/>
  <c r="F99"/>
  <c r="M99"/>
  <c r="F95"/>
  <c r="M95"/>
  <c r="F91"/>
  <c r="M91"/>
  <c r="F87"/>
  <c r="M87"/>
  <c r="F83"/>
  <c r="M83"/>
  <c r="F79"/>
  <c r="M79"/>
  <c r="F75"/>
  <c r="M75"/>
  <c r="F71"/>
  <c r="M71"/>
  <c r="F67"/>
  <c r="M67"/>
  <c r="F110"/>
  <c r="M110"/>
  <c r="F106"/>
  <c r="M106"/>
  <c r="F54"/>
  <c r="M54"/>
  <c r="M50"/>
  <c r="F50"/>
  <c r="F46"/>
  <c r="M46"/>
  <c r="F158"/>
  <c r="M158"/>
  <c r="F154"/>
  <c r="M154"/>
  <c r="F150"/>
  <c r="M150"/>
  <c r="F146"/>
  <c r="M146"/>
  <c r="F142"/>
  <c r="M142"/>
  <c r="F138"/>
  <c r="M138"/>
  <c r="F134"/>
  <c r="M134"/>
  <c r="F130"/>
  <c r="M130"/>
  <c r="F126"/>
  <c r="M126"/>
  <c r="M122"/>
  <c r="F122"/>
  <c r="F169"/>
  <c r="M169"/>
  <c r="M165"/>
  <c r="F165"/>
  <c r="F38"/>
  <c r="M38"/>
  <c r="F30"/>
  <c r="M30"/>
  <c r="F22"/>
  <c r="M22"/>
  <c r="F14"/>
  <c r="M14"/>
  <c r="F6"/>
  <c r="M6"/>
  <c r="M96"/>
  <c r="F96"/>
  <c r="M88"/>
  <c r="F88"/>
  <c r="M80"/>
  <c r="F80"/>
  <c r="M72"/>
  <c r="F72"/>
  <c r="M64"/>
  <c r="F64"/>
  <c r="M107"/>
  <c r="F107"/>
  <c r="M51"/>
  <c r="F51"/>
  <c r="F159"/>
  <c r="M159"/>
  <c r="F151"/>
  <c r="M151"/>
  <c r="F143"/>
  <c r="M143"/>
  <c r="F135"/>
  <c r="M135"/>
  <c r="F127"/>
  <c r="M127"/>
  <c r="F170"/>
  <c r="M170"/>
  <c r="F162"/>
  <c r="M162"/>
  <c r="M39"/>
  <c r="F39"/>
  <c r="M31"/>
  <c r="F31"/>
  <c r="M23"/>
  <c r="F23"/>
  <c r="M15"/>
  <c r="F15"/>
  <c r="M7"/>
  <c r="F7"/>
  <c r="M97"/>
  <c r="F97"/>
  <c r="F89"/>
  <c r="M89"/>
  <c r="F81"/>
  <c r="M81"/>
  <c r="F73"/>
  <c r="M73"/>
  <c r="F65"/>
  <c r="M65"/>
  <c r="M108"/>
  <c r="F108"/>
  <c r="F52"/>
  <c r="M52"/>
  <c r="M160"/>
  <c r="F160"/>
  <c r="M152"/>
  <c r="F152"/>
  <c r="M144"/>
  <c r="F144"/>
  <c r="M136"/>
  <c r="F136"/>
  <c r="M128"/>
  <c r="F128"/>
  <c r="F161"/>
  <c r="M161"/>
  <c r="F44"/>
  <c r="M44"/>
  <c r="F36"/>
  <c r="M36"/>
  <c r="F28"/>
  <c r="M28"/>
  <c r="M24"/>
  <c r="F24"/>
  <c r="F16"/>
  <c r="M16"/>
  <c r="M12"/>
  <c r="F12"/>
  <c r="F8"/>
  <c r="M8"/>
  <c r="M102"/>
  <c r="F102"/>
  <c r="F98"/>
  <c r="M98"/>
  <c r="F94"/>
  <c r="M94"/>
  <c r="M90"/>
  <c r="F90"/>
  <c r="F86"/>
  <c r="M86"/>
  <c r="M82"/>
  <c r="F82"/>
  <c r="F78"/>
  <c r="M78"/>
  <c r="M74"/>
  <c r="F74"/>
  <c r="F70"/>
  <c r="M70"/>
  <c r="M66"/>
  <c r="F66"/>
  <c r="M103"/>
  <c r="F103"/>
  <c r="M109"/>
  <c r="F109"/>
  <c r="F105"/>
  <c r="M105"/>
  <c r="F53"/>
  <c r="M53"/>
  <c r="F49"/>
  <c r="M49"/>
  <c r="M121"/>
  <c r="F121"/>
  <c r="F157"/>
  <c r="M157"/>
  <c r="M153"/>
  <c r="F153"/>
  <c r="F149"/>
  <c r="M149"/>
  <c r="M145"/>
  <c r="F145"/>
  <c r="M141"/>
  <c r="F141"/>
  <c r="M137"/>
  <c r="F137"/>
  <c r="M133"/>
  <c r="F133"/>
  <c r="M129"/>
  <c r="F129"/>
  <c r="M125"/>
  <c r="F125"/>
  <c r="M168"/>
  <c r="F168"/>
  <c r="M164"/>
  <c r="F164"/>
  <c r="C113"/>
  <c r="C55"/>
  <c r="BX5" i="19" l="1"/>
  <c r="CC54"/>
  <c r="BZ54"/>
  <c r="BY54"/>
  <c r="BW54"/>
  <c r="BV54"/>
  <c r="BU54"/>
  <c r="BT54"/>
  <c r="BS54"/>
  <c r="CB54" s="1"/>
  <c r="BR54"/>
  <c r="CA54" s="1"/>
  <c r="AM54"/>
  <c r="AL54"/>
  <c r="AK54"/>
  <c r="AJ54"/>
  <c r="AI54"/>
  <c r="AH54"/>
  <c r="BX54" s="1"/>
  <c r="CB53"/>
  <c r="CA53"/>
  <c r="BW53"/>
  <c r="BV53"/>
  <c r="BU53"/>
  <c r="BT53"/>
  <c r="CC53" s="1"/>
  <c r="BS53"/>
  <c r="BR53"/>
  <c r="AM53"/>
  <c r="AL53"/>
  <c r="AK53"/>
  <c r="AJ53"/>
  <c r="BZ53" s="1"/>
  <c r="AI53"/>
  <c r="BY53" s="1"/>
  <c r="AH53"/>
  <c r="BX53" s="1"/>
  <c r="CC52"/>
  <c r="BZ52"/>
  <c r="BW52"/>
  <c r="BV52"/>
  <c r="BU52"/>
  <c r="BT52"/>
  <c r="BS52"/>
  <c r="CB52" s="1"/>
  <c r="BR52"/>
  <c r="CA52" s="1"/>
  <c r="AM52"/>
  <c r="AL52"/>
  <c r="AK52"/>
  <c r="AJ52"/>
  <c r="AI52"/>
  <c r="BY52" s="1"/>
  <c r="AH52"/>
  <c r="BX52" s="1"/>
  <c r="CB51"/>
  <c r="CA51"/>
  <c r="BW51"/>
  <c r="BV51"/>
  <c r="BU51"/>
  <c r="BT51"/>
  <c r="CC51" s="1"/>
  <c r="BS51"/>
  <c r="BR51"/>
  <c r="AM51"/>
  <c r="AL51"/>
  <c r="AK51"/>
  <c r="AJ51"/>
  <c r="BZ51" s="1"/>
  <c r="AI51"/>
  <c r="BY51" s="1"/>
  <c r="AH51"/>
  <c r="BX51" s="1"/>
  <c r="CC50"/>
  <c r="BZ50"/>
  <c r="BY50"/>
  <c r="BW50"/>
  <c r="BV50"/>
  <c r="BU50"/>
  <c r="BT50"/>
  <c r="BS50"/>
  <c r="CB50" s="1"/>
  <c r="BR50"/>
  <c r="CA50" s="1"/>
  <c r="AM50"/>
  <c r="AL50"/>
  <c r="AK50"/>
  <c r="AJ50"/>
  <c r="AI50"/>
  <c r="AH50"/>
  <c r="BX50" s="1"/>
  <c r="CB49"/>
  <c r="CA49"/>
  <c r="BW49"/>
  <c r="BV49"/>
  <c r="BU49"/>
  <c r="BT49"/>
  <c r="CC49" s="1"/>
  <c r="BS49"/>
  <c r="BR49"/>
  <c r="AM49"/>
  <c r="AL49"/>
  <c r="AK49"/>
  <c r="AJ49"/>
  <c r="BZ49" s="1"/>
  <c r="AI49"/>
  <c r="BY49" s="1"/>
  <c r="AH49"/>
  <c r="BX49" s="1"/>
  <c r="CC48"/>
  <c r="BZ48"/>
  <c r="BW48"/>
  <c r="BV48"/>
  <c r="BU48"/>
  <c r="BT48"/>
  <c r="BS48"/>
  <c r="CB48" s="1"/>
  <c r="BR48"/>
  <c r="CA48" s="1"/>
  <c r="AM48"/>
  <c r="AL48"/>
  <c r="AK48"/>
  <c r="AJ48"/>
  <c r="AI48"/>
  <c r="BY48" s="1"/>
  <c r="AH48"/>
  <c r="BX48" s="1"/>
  <c r="CA47"/>
  <c r="BW47"/>
  <c r="BV47"/>
  <c r="BU47"/>
  <c r="BT47"/>
  <c r="CC47" s="1"/>
  <c r="BS47"/>
  <c r="CB47" s="1"/>
  <c r="BR47"/>
  <c r="AM47"/>
  <c r="AL47"/>
  <c r="AK47"/>
  <c r="AJ47"/>
  <c r="BZ47" s="1"/>
  <c r="AI47"/>
  <c r="BY47" s="1"/>
  <c r="AH47"/>
  <c r="BX47" s="1"/>
  <c r="CC46"/>
  <c r="CA46"/>
  <c r="BY46"/>
  <c r="BW46"/>
  <c r="BV46"/>
  <c r="BU46"/>
  <c r="BT46"/>
  <c r="BS46"/>
  <c r="CB46" s="1"/>
  <c r="BR46"/>
  <c r="AM46"/>
  <c r="AL46"/>
  <c r="AK46"/>
  <c r="AJ46"/>
  <c r="BZ46" s="1"/>
  <c r="AI46"/>
  <c r="AH46"/>
  <c r="BX46" s="1"/>
  <c r="CA45"/>
  <c r="BW45"/>
  <c r="BV45"/>
  <c r="BU45"/>
  <c r="BT45"/>
  <c r="CC45" s="1"/>
  <c r="BS45"/>
  <c r="CB45" s="1"/>
  <c r="BR45"/>
  <c r="AM45"/>
  <c r="AL45"/>
  <c r="AK45"/>
  <c r="AJ45"/>
  <c r="BZ45" s="1"/>
  <c r="AI45"/>
  <c r="BY45" s="1"/>
  <c r="AH45"/>
  <c r="BX45" s="1"/>
  <c r="CC44"/>
  <c r="BZ44"/>
  <c r="BY44"/>
  <c r="BW44"/>
  <c r="BV44"/>
  <c r="BU44"/>
  <c r="BT44"/>
  <c r="BS44"/>
  <c r="CB44" s="1"/>
  <c r="BR44"/>
  <c r="CA44" s="1"/>
  <c r="AM44"/>
  <c r="AL44"/>
  <c r="AK44"/>
  <c r="AJ44"/>
  <c r="AI44"/>
  <c r="AH44"/>
  <c r="BX44" s="1"/>
  <c r="CC43"/>
  <c r="CA43"/>
  <c r="BW43"/>
  <c r="BV43"/>
  <c r="BU43"/>
  <c r="BT43"/>
  <c r="BS43"/>
  <c r="CB43" s="1"/>
  <c r="BR43"/>
  <c r="AM43"/>
  <c r="AL43"/>
  <c r="AK43"/>
  <c r="AJ43"/>
  <c r="BZ43" s="1"/>
  <c r="AI43"/>
  <c r="BY43" s="1"/>
  <c r="AH43"/>
  <c r="BX43" s="1"/>
  <c r="CC42"/>
  <c r="BZ42"/>
  <c r="BY42"/>
  <c r="BW42"/>
  <c r="BV42"/>
  <c r="BU42"/>
  <c r="BT42"/>
  <c r="BS42"/>
  <c r="CB42" s="1"/>
  <c r="BR42"/>
  <c r="CA42" s="1"/>
  <c r="AM42"/>
  <c r="AL42"/>
  <c r="AK42"/>
  <c r="AJ42"/>
  <c r="AI42"/>
  <c r="AH42"/>
  <c r="BX42" s="1"/>
  <c r="CA41"/>
  <c r="BY41"/>
  <c r="BW41"/>
  <c r="BV41"/>
  <c r="BU41"/>
  <c r="BT41"/>
  <c r="CC41" s="1"/>
  <c r="BS41"/>
  <c r="CB41" s="1"/>
  <c r="BR41"/>
  <c r="AM41"/>
  <c r="AL41"/>
  <c r="AK41"/>
  <c r="AJ41"/>
  <c r="BZ41" s="1"/>
  <c r="AI41"/>
  <c r="AH41"/>
  <c r="BX41" s="1"/>
  <c r="CC40"/>
  <c r="BZ40"/>
  <c r="BW40"/>
  <c r="BV40"/>
  <c r="BU40"/>
  <c r="BT40"/>
  <c r="BS40"/>
  <c r="CB40" s="1"/>
  <c r="BR40"/>
  <c r="CA40" s="1"/>
  <c r="AM40"/>
  <c r="AL40"/>
  <c r="AK40"/>
  <c r="AJ40"/>
  <c r="AI40"/>
  <c r="BY40" s="1"/>
  <c r="AH40"/>
  <c r="BX40" s="1"/>
  <c r="CA39"/>
  <c r="BW39"/>
  <c r="BV39"/>
  <c r="BU39"/>
  <c r="BT39"/>
  <c r="CC39" s="1"/>
  <c r="BS39"/>
  <c r="CB39" s="1"/>
  <c r="BR39"/>
  <c r="AM39"/>
  <c r="AL39"/>
  <c r="AK39"/>
  <c r="AJ39"/>
  <c r="BZ39" s="1"/>
  <c r="AI39"/>
  <c r="BY39" s="1"/>
  <c r="AH39"/>
  <c r="BX39" s="1"/>
  <c r="CC38"/>
  <c r="CA38"/>
  <c r="BY38"/>
  <c r="BW38"/>
  <c r="BV38"/>
  <c r="BU38"/>
  <c r="BT38"/>
  <c r="BS38"/>
  <c r="CB38" s="1"/>
  <c r="BR38"/>
  <c r="AM38"/>
  <c r="AL38"/>
  <c r="AK38"/>
  <c r="AJ38"/>
  <c r="BZ38" s="1"/>
  <c r="AI38"/>
  <c r="AH38"/>
  <c r="BX38" s="1"/>
  <c r="CA37"/>
  <c r="BW37"/>
  <c r="BV37"/>
  <c r="BU37"/>
  <c r="BT37"/>
  <c r="CC37" s="1"/>
  <c r="BS37"/>
  <c r="CB37" s="1"/>
  <c r="BR37"/>
  <c r="AM37"/>
  <c r="AL37"/>
  <c r="AK37"/>
  <c r="AJ37"/>
  <c r="BZ37" s="1"/>
  <c r="AI37"/>
  <c r="BY37" s="1"/>
  <c r="AH37"/>
  <c r="BX37" s="1"/>
  <c r="CC36"/>
  <c r="BZ36"/>
  <c r="BY36"/>
  <c r="BW36"/>
  <c r="BV36"/>
  <c r="BU36"/>
  <c r="BT36"/>
  <c r="BS36"/>
  <c r="CB36" s="1"/>
  <c r="BR36"/>
  <c r="CA36" s="1"/>
  <c r="AM36"/>
  <c r="AL36"/>
  <c r="AK36"/>
  <c r="AJ36"/>
  <c r="AI36"/>
  <c r="AH36"/>
  <c r="BX36" s="1"/>
  <c r="CA35"/>
  <c r="BW35"/>
  <c r="BV35"/>
  <c r="BU35"/>
  <c r="BT35"/>
  <c r="CC35" s="1"/>
  <c r="BS35"/>
  <c r="CB35" s="1"/>
  <c r="BR35"/>
  <c r="AM35"/>
  <c r="AL35"/>
  <c r="AK35"/>
  <c r="AJ35"/>
  <c r="BZ35" s="1"/>
  <c r="AI35"/>
  <c r="BY35" s="1"/>
  <c r="AH35"/>
  <c r="BX35" s="1"/>
  <c r="CC34"/>
  <c r="BZ34"/>
  <c r="BY34"/>
  <c r="BW34"/>
  <c r="BV34"/>
  <c r="BU34"/>
  <c r="BT34"/>
  <c r="BS34"/>
  <c r="CB34" s="1"/>
  <c r="BR34"/>
  <c r="CA34" s="1"/>
  <c r="AM34"/>
  <c r="AL34"/>
  <c r="AK34"/>
  <c r="AJ34"/>
  <c r="AI34"/>
  <c r="AH34"/>
  <c r="BX34" s="1"/>
  <c r="CA33"/>
  <c r="BW33"/>
  <c r="BV33"/>
  <c r="BU33"/>
  <c r="BT33"/>
  <c r="CC33" s="1"/>
  <c r="BS33"/>
  <c r="CB33" s="1"/>
  <c r="BR33"/>
  <c r="AM33"/>
  <c r="AL33"/>
  <c r="AK33"/>
  <c r="AJ33"/>
  <c r="BZ33" s="1"/>
  <c r="AI33"/>
  <c r="BY33" s="1"/>
  <c r="AH33"/>
  <c r="BX33" s="1"/>
  <c r="CC32"/>
  <c r="BZ32"/>
  <c r="BW32"/>
  <c r="BV32"/>
  <c r="BU32"/>
  <c r="BT32"/>
  <c r="BS32"/>
  <c r="CB32" s="1"/>
  <c r="BR32"/>
  <c r="CA32" s="1"/>
  <c r="AM32"/>
  <c r="AL32"/>
  <c r="AK32"/>
  <c r="AJ32"/>
  <c r="AI32"/>
  <c r="BY32" s="1"/>
  <c r="AH32"/>
  <c r="BX32" s="1"/>
  <c r="CA31"/>
  <c r="BW31"/>
  <c r="BV31"/>
  <c r="BU31"/>
  <c r="BT31"/>
  <c r="CC31" s="1"/>
  <c r="BS31"/>
  <c r="CB31" s="1"/>
  <c r="BR31"/>
  <c r="AM31"/>
  <c r="AL31"/>
  <c r="AK31"/>
  <c r="AJ31"/>
  <c r="BZ31" s="1"/>
  <c r="AI31"/>
  <c r="BY31" s="1"/>
  <c r="AH31"/>
  <c r="BX31" s="1"/>
  <c r="CC30"/>
  <c r="CA30"/>
  <c r="BY30"/>
  <c r="BW30"/>
  <c r="BV30"/>
  <c r="BU30"/>
  <c r="BT30"/>
  <c r="BS30"/>
  <c r="CB30" s="1"/>
  <c r="BR30"/>
  <c r="AM30"/>
  <c r="AL30"/>
  <c r="AK30"/>
  <c r="AJ30"/>
  <c r="BZ30" s="1"/>
  <c r="AI30"/>
  <c r="AH30"/>
  <c r="BX30" s="1"/>
  <c r="CB29"/>
  <c r="CA29"/>
  <c r="BW29"/>
  <c r="BV29"/>
  <c r="BU29"/>
  <c r="BT29"/>
  <c r="CC29" s="1"/>
  <c r="BS29"/>
  <c r="BR29"/>
  <c r="AM29"/>
  <c r="AL29"/>
  <c r="AK29"/>
  <c r="AJ29"/>
  <c r="BZ29" s="1"/>
  <c r="AI29"/>
  <c r="BY29" s="1"/>
  <c r="AH29"/>
  <c r="BX29" s="1"/>
  <c r="CC28"/>
  <c r="BZ28"/>
  <c r="BY28"/>
  <c r="BW28"/>
  <c r="BV28"/>
  <c r="BU28"/>
  <c r="BT28"/>
  <c r="BS28"/>
  <c r="CB28" s="1"/>
  <c r="BR28"/>
  <c r="CA28" s="1"/>
  <c r="AM28"/>
  <c r="AL28"/>
  <c r="AK28"/>
  <c r="AJ28"/>
  <c r="AI28"/>
  <c r="AH28"/>
  <c r="BX28" s="1"/>
  <c r="CA27"/>
  <c r="BW27"/>
  <c r="BV27"/>
  <c r="BU27"/>
  <c r="BT27"/>
  <c r="CC27" s="1"/>
  <c r="BS27"/>
  <c r="CB27" s="1"/>
  <c r="BR27"/>
  <c r="AM27"/>
  <c r="AL27"/>
  <c r="AK27"/>
  <c r="AJ27"/>
  <c r="BZ27" s="1"/>
  <c r="AI27"/>
  <c r="BY27" s="1"/>
  <c r="AH27"/>
  <c r="BX27" s="1"/>
  <c r="CC26"/>
  <c r="BZ26"/>
  <c r="BY26"/>
  <c r="BW26"/>
  <c r="BV26"/>
  <c r="BU26"/>
  <c r="BT26"/>
  <c r="BS26"/>
  <c r="CB26" s="1"/>
  <c r="BR26"/>
  <c r="CA26" s="1"/>
  <c r="AM26"/>
  <c r="AL26"/>
  <c r="AK26"/>
  <c r="AJ26"/>
  <c r="AI26"/>
  <c r="AH26"/>
  <c r="BX26" s="1"/>
  <c r="CA25"/>
  <c r="BY25"/>
  <c r="BW25"/>
  <c r="BV25"/>
  <c r="BU25"/>
  <c r="BT25"/>
  <c r="CC25" s="1"/>
  <c r="BS25"/>
  <c r="CB25" s="1"/>
  <c r="BR25"/>
  <c r="AM25"/>
  <c r="AL25"/>
  <c r="AK25"/>
  <c r="AJ25"/>
  <c r="BZ25" s="1"/>
  <c r="AI25"/>
  <c r="AH25"/>
  <c r="BX25" s="1"/>
  <c r="CC24"/>
  <c r="BZ24"/>
  <c r="BW24"/>
  <c r="BV24"/>
  <c r="BU24"/>
  <c r="BT24"/>
  <c r="BS24"/>
  <c r="CB24" s="1"/>
  <c r="BR24"/>
  <c r="CA24" s="1"/>
  <c r="AM24"/>
  <c r="AL24"/>
  <c r="AK24"/>
  <c r="AJ24"/>
  <c r="AI24"/>
  <c r="BY24" s="1"/>
  <c r="AH24"/>
  <c r="BX24" s="1"/>
  <c r="CA23"/>
  <c r="BW23"/>
  <c r="BV23"/>
  <c r="BU23"/>
  <c r="BT23"/>
  <c r="CC23" s="1"/>
  <c r="BS23"/>
  <c r="CB23" s="1"/>
  <c r="BR23"/>
  <c r="AM23"/>
  <c r="AL23"/>
  <c r="AK23"/>
  <c r="AJ23"/>
  <c r="BZ23" s="1"/>
  <c r="AI23"/>
  <c r="BY23" s="1"/>
  <c r="AH23"/>
  <c r="BX23" s="1"/>
  <c r="CC22"/>
  <c r="BY22"/>
  <c r="BW22"/>
  <c r="BV22"/>
  <c r="BU22"/>
  <c r="BT22"/>
  <c r="BS22"/>
  <c r="CB22" s="1"/>
  <c r="BR22"/>
  <c r="CA22" s="1"/>
  <c r="AM22"/>
  <c r="AL22"/>
  <c r="AK22"/>
  <c r="AJ22"/>
  <c r="BZ22" s="1"/>
  <c r="AI22"/>
  <c r="AH22"/>
  <c r="BX22" s="1"/>
  <c r="CC21"/>
  <c r="CB21"/>
  <c r="CA21"/>
  <c r="BW21"/>
  <c r="BV21"/>
  <c r="BU21"/>
  <c r="BT21"/>
  <c r="BS21"/>
  <c r="BR21"/>
  <c r="AM21"/>
  <c r="AL21"/>
  <c r="AK21"/>
  <c r="AJ21"/>
  <c r="BZ21" s="1"/>
  <c r="AI21"/>
  <c r="BY21" s="1"/>
  <c r="AH21"/>
  <c r="BX21" s="1"/>
  <c r="CC20"/>
  <c r="BZ20"/>
  <c r="BY20"/>
  <c r="BW20"/>
  <c r="BV20"/>
  <c r="BU20"/>
  <c r="BT20"/>
  <c r="BS20"/>
  <c r="CB20" s="1"/>
  <c r="BR20"/>
  <c r="CA20" s="1"/>
  <c r="AM20"/>
  <c r="AL20"/>
  <c r="AK20"/>
  <c r="AJ20"/>
  <c r="AI20"/>
  <c r="AH20"/>
  <c r="BX20" s="1"/>
  <c r="CC19"/>
  <c r="CA19"/>
  <c r="BW19"/>
  <c r="BV19"/>
  <c r="BU19"/>
  <c r="BT19"/>
  <c r="BS19"/>
  <c r="CB19" s="1"/>
  <c r="BR19"/>
  <c r="AM19"/>
  <c r="AL19"/>
  <c r="AK19"/>
  <c r="AJ19"/>
  <c r="BZ19" s="1"/>
  <c r="AI19"/>
  <c r="BY19" s="1"/>
  <c r="AH19"/>
  <c r="BX19" s="1"/>
  <c r="CC18"/>
  <c r="BZ18"/>
  <c r="BY18"/>
  <c r="BW18"/>
  <c r="BV18"/>
  <c r="BU18"/>
  <c r="BT18"/>
  <c r="BS18"/>
  <c r="CB18" s="1"/>
  <c r="BR18"/>
  <c r="CA18" s="1"/>
  <c r="AM18"/>
  <c r="AL18"/>
  <c r="AK18"/>
  <c r="AJ18"/>
  <c r="AI18"/>
  <c r="AH18"/>
  <c r="BX18" s="1"/>
  <c r="CA17"/>
  <c r="BY17"/>
  <c r="BW17"/>
  <c r="BV17"/>
  <c r="BU17"/>
  <c r="BT17"/>
  <c r="CC17" s="1"/>
  <c r="BS17"/>
  <c r="CB17" s="1"/>
  <c r="BR17"/>
  <c r="AM17"/>
  <c r="AL17"/>
  <c r="AK17"/>
  <c r="AJ17"/>
  <c r="BZ17" s="1"/>
  <c r="AI17"/>
  <c r="AH17"/>
  <c r="BX17" s="1"/>
  <c r="CC16"/>
  <c r="CA16"/>
  <c r="BW16"/>
  <c r="BV16"/>
  <c r="BU16"/>
  <c r="BT16"/>
  <c r="BS16"/>
  <c r="CB16" s="1"/>
  <c r="BR16"/>
  <c r="AM16"/>
  <c r="AL16"/>
  <c r="AK16"/>
  <c r="AJ16"/>
  <c r="BZ16" s="1"/>
  <c r="AI16"/>
  <c r="BY16" s="1"/>
  <c r="AH16"/>
  <c r="BX16" s="1"/>
  <c r="CA15"/>
  <c r="BW15"/>
  <c r="BV15"/>
  <c r="BU15"/>
  <c r="BT15"/>
  <c r="CC15" s="1"/>
  <c r="BS15"/>
  <c r="CB15" s="1"/>
  <c r="BR15"/>
  <c r="AM15"/>
  <c r="AL15"/>
  <c r="AK15"/>
  <c r="AJ15"/>
  <c r="BZ15" s="1"/>
  <c r="AI15"/>
  <c r="BY15" s="1"/>
  <c r="AH15"/>
  <c r="BX15" s="1"/>
  <c r="CC14"/>
  <c r="BY14"/>
  <c r="BW14"/>
  <c r="BV14"/>
  <c r="BU14"/>
  <c r="BT14"/>
  <c r="BS14"/>
  <c r="CB14" s="1"/>
  <c r="BR14"/>
  <c r="CA14" s="1"/>
  <c r="AM14"/>
  <c r="AL14"/>
  <c r="AK14"/>
  <c r="AJ14"/>
  <c r="BZ14" s="1"/>
  <c r="AI14"/>
  <c r="AH14"/>
  <c r="BX14" s="1"/>
  <c r="CC13"/>
  <c r="CB13"/>
  <c r="CA13"/>
  <c r="BW13"/>
  <c r="BV13"/>
  <c r="BU13"/>
  <c r="BT13"/>
  <c r="BS13"/>
  <c r="BR13"/>
  <c r="AM13"/>
  <c r="AL13"/>
  <c r="AK13"/>
  <c r="AJ13"/>
  <c r="BZ13" s="1"/>
  <c r="AI13"/>
  <c r="BY13" s="1"/>
  <c r="AH13"/>
  <c r="BX13" s="1"/>
  <c r="CC12"/>
  <c r="BZ12"/>
  <c r="BY12"/>
  <c r="BW12"/>
  <c r="BV12"/>
  <c r="BU12"/>
  <c r="BT12"/>
  <c r="BS12"/>
  <c r="CB12" s="1"/>
  <c r="BR12"/>
  <c r="CA12" s="1"/>
  <c r="AM12"/>
  <c r="AL12"/>
  <c r="AK12"/>
  <c r="AJ12"/>
  <c r="AI12"/>
  <c r="AH12"/>
  <c r="BX12" s="1"/>
  <c r="CC11"/>
  <c r="CA11"/>
  <c r="BW11"/>
  <c r="BV11"/>
  <c r="BU11"/>
  <c r="BT11"/>
  <c r="BS11"/>
  <c r="CB11" s="1"/>
  <c r="BR11"/>
  <c r="AM11"/>
  <c r="AL11"/>
  <c r="AK11"/>
  <c r="AJ11"/>
  <c r="BZ11" s="1"/>
  <c r="AI11"/>
  <c r="BY11" s="1"/>
  <c r="AH11"/>
  <c r="BX11" s="1"/>
  <c r="CC10"/>
  <c r="BZ10"/>
  <c r="BY10"/>
  <c r="BW10"/>
  <c r="BV10"/>
  <c r="BU10"/>
  <c r="BT10"/>
  <c r="BS10"/>
  <c r="CB10" s="1"/>
  <c r="BR10"/>
  <c r="CA10" s="1"/>
  <c r="AM10"/>
  <c r="AL10"/>
  <c r="AK10"/>
  <c r="AJ10"/>
  <c r="AI10"/>
  <c r="AH10"/>
  <c r="BX10" s="1"/>
  <c r="CA9"/>
  <c r="BY9"/>
  <c r="BW9"/>
  <c r="BV9"/>
  <c r="BU9"/>
  <c r="BT9"/>
  <c r="CC9" s="1"/>
  <c r="BS9"/>
  <c r="CB9" s="1"/>
  <c r="BR9"/>
  <c r="AM9"/>
  <c r="AL9"/>
  <c r="AK9"/>
  <c r="AJ9"/>
  <c r="BZ9" s="1"/>
  <c r="AI9"/>
  <c r="AH9"/>
  <c r="BX9" s="1"/>
  <c r="CC8"/>
  <c r="CA8"/>
  <c r="BW8"/>
  <c r="BV8"/>
  <c r="BU8"/>
  <c r="BT8"/>
  <c r="BS8"/>
  <c r="CB8" s="1"/>
  <c r="BR8"/>
  <c r="AM8"/>
  <c r="AL8"/>
  <c r="AK8"/>
  <c r="AJ8"/>
  <c r="BZ8" s="1"/>
  <c r="AI8"/>
  <c r="BY8" s="1"/>
  <c r="AH8"/>
  <c r="BX8" s="1"/>
  <c r="CA7"/>
  <c r="BW7"/>
  <c r="BV7"/>
  <c r="BU7"/>
  <c r="BT7"/>
  <c r="CC7" s="1"/>
  <c r="BS7"/>
  <c r="CB7" s="1"/>
  <c r="BR7"/>
  <c r="AM7"/>
  <c r="AL7"/>
  <c r="AK7"/>
  <c r="AJ7"/>
  <c r="BZ7" s="1"/>
  <c r="AI7"/>
  <c r="BY7" s="1"/>
  <c r="AH7"/>
  <c r="BX7" s="1"/>
  <c r="CC6"/>
  <c r="BY6"/>
  <c r="BW6"/>
  <c r="BV6"/>
  <c r="BU6"/>
  <c r="BT6"/>
  <c r="BS6"/>
  <c r="CB6" s="1"/>
  <c r="BR6"/>
  <c r="CA6" s="1"/>
  <c r="AM6"/>
  <c r="AL6"/>
  <c r="AK6"/>
  <c r="AJ6"/>
  <c r="BZ6" s="1"/>
  <c r="AI6"/>
  <c r="AH6"/>
  <c r="BX6" s="1"/>
  <c r="CC5"/>
  <c r="CB5"/>
  <c r="CA5"/>
  <c r="BW5"/>
  <c r="BV5"/>
  <c r="BU5"/>
  <c r="BT5"/>
  <c r="BS5"/>
  <c r="BR5"/>
  <c r="AM5"/>
  <c r="AL5"/>
  <c r="AK5"/>
  <c r="AJ5"/>
  <c r="BZ5" s="1"/>
  <c r="AI5"/>
  <c r="BY5" s="1"/>
  <c r="AH5"/>
  <c r="BX5" i="6"/>
  <c r="BW16"/>
  <c r="BW13"/>
  <c r="BW54"/>
  <c r="BW53"/>
  <c r="BW52"/>
  <c r="BW51"/>
  <c r="BW50"/>
  <c r="BW49"/>
  <c r="BW48"/>
  <c r="BW47"/>
  <c r="BW46"/>
  <c r="BW45"/>
  <c r="BW44"/>
  <c r="BW43"/>
  <c r="BW42"/>
  <c r="BW41"/>
  <c r="BW40"/>
  <c r="BW39"/>
  <c r="BW38"/>
  <c r="BW37"/>
  <c r="BW36"/>
  <c r="BW35"/>
  <c r="BW34"/>
  <c r="BW33"/>
  <c r="BW32"/>
  <c r="BW31"/>
  <c r="BW30"/>
  <c r="BW29"/>
  <c r="BW28"/>
  <c r="BW27"/>
  <c r="BW26"/>
  <c r="BW25"/>
  <c r="BW24"/>
  <c r="BW23"/>
  <c r="BW22"/>
  <c r="BW21"/>
  <c r="BW20"/>
  <c r="BW19"/>
  <c r="BW18"/>
  <c r="BW17"/>
  <c r="BW15"/>
  <c r="BW14"/>
  <c r="BW12"/>
  <c r="BW11"/>
  <c r="BW10"/>
  <c r="BW9"/>
  <c r="BW8"/>
  <c r="BW7"/>
  <c r="BW6"/>
  <c r="BV54"/>
  <c r="BV53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W5"/>
  <c r="BV5"/>
  <c r="BU54"/>
  <c r="BU53"/>
  <c r="BU52"/>
  <c r="BU51"/>
  <c r="BU50"/>
  <c r="BU49"/>
  <c r="BU48"/>
  <c r="BU47"/>
  <c r="BU46"/>
  <c r="BU45"/>
  <c r="BU44"/>
  <c r="BU43"/>
  <c r="BU42"/>
  <c r="BU41"/>
  <c r="BU40"/>
  <c r="BU39"/>
  <c r="BU38"/>
  <c r="BU37"/>
  <c r="BU36"/>
  <c r="BU35"/>
  <c r="BU34"/>
  <c r="BU33"/>
  <c r="BU32"/>
  <c r="BU31"/>
  <c r="BU30"/>
  <c r="BU29"/>
  <c r="BU28"/>
  <c r="BU27"/>
  <c r="BU26"/>
  <c r="BU25"/>
  <c r="BU24"/>
  <c r="BU23"/>
  <c r="BU22"/>
  <c r="BU21"/>
  <c r="BU20"/>
  <c r="BU19"/>
  <c r="BU18"/>
  <c r="BU17"/>
  <c r="BU16"/>
  <c r="BU15"/>
  <c r="BU14"/>
  <c r="BU13"/>
  <c r="BU12"/>
  <c r="BU11"/>
  <c r="BU10"/>
  <c r="BU9"/>
  <c r="BU8"/>
  <c r="BU7"/>
  <c r="BU6"/>
  <c r="BU5"/>
  <c r="BT54"/>
  <c r="BS54"/>
  <c r="BR54"/>
  <c r="BT53"/>
  <c r="BS53"/>
  <c r="BR53"/>
  <c r="BT52"/>
  <c r="BS52"/>
  <c r="BR52"/>
  <c r="BT51"/>
  <c r="BS51"/>
  <c r="BR51"/>
  <c r="BT50"/>
  <c r="BS50"/>
  <c r="BR50"/>
  <c r="BT49"/>
  <c r="BS49"/>
  <c r="BR49"/>
  <c r="BT48"/>
  <c r="BS48"/>
  <c r="BR48"/>
  <c r="BT47"/>
  <c r="BS47"/>
  <c r="BR47"/>
  <c r="BT46"/>
  <c r="BS46"/>
  <c r="BR46"/>
  <c r="BT45"/>
  <c r="BS45"/>
  <c r="BR45"/>
  <c r="BT44"/>
  <c r="BS44"/>
  <c r="BR44"/>
  <c r="BT43"/>
  <c r="BS43"/>
  <c r="BR43"/>
  <c r="BT42"/>
  <c r="BS42"/>
  <c r="BR42"/>
  <c r="BT41"/>
  <c r="BS41"/>
  <c r="BR41"/>
  <c r="BT40"/>
  <c r="BS40"/>
  <c r="BR40"/>
  <c r="BT39"/>
  <c r="BS39"/>
  <c r="BR39"/>
  <c r="BT38"/>
  <c r="BS38"/>
  <c r="BR38"/>
  <c r="BT37"/>
  <c r="BS37"/>
  <c r="BR37"/>
  <c r="BT36"/>
  <c r="BS36"/>
  <c r="BR36"/>
  <c r="BT35"/>
  <c r="BS35"/>
  <c r="BR35"/>
  <c r="BT34"/>
  <c r="BS34"/>
  <c r="BR34"/>
  <c r="BT33"/>
  <c r="BS33"/>
  <c r="BR33"/>
  <c r="BT32"/>
  <c r="BS32"/>
  <c r="BR32"/>
  <c r="BT31"/>
  <c r="BS31"/>
  <c r="BR31"/>
  <c r="BT30"/>
  <c r="BS30"/>
  <c r="BR30"/>
  <c r="BT29"/>
  <c r="BS29"/>
  <c r="BR29"/>
  <c r="BT28"/>
  <c r="BS28"/>
  <c r="BR28"/>
  <c r="BT27"/>
  <c r="BS27"/>
  <c r="BR27"/>
  <c r="BT26"/>
  <c r="BS26"/>
  <c r="BR26"/>
  <c r="BT25"/>
  <c r="BS25"/>
  <c r="BR25"/>
  <c r="BT24"/>
  <c r="BS24"/>
  <c r="BR24"/>
  <c r="BT23"/>
  <c r="BS23"/>
  <c r="BR23"/>
  <c r="BT22"/>
  <c r="BS22"/>
  <c r="BR22"/>
  <c r="BT21"/>
  <c r="BS21"/>
  <c r="BR21"/>
  <c r="BT20"/>
  <c r="BS20"/>
  <c r="BR20"/>
  <c r="BT19"/>
  <c r="BS19"/>
  <c r="BR19"/>
  <c r="BT18"/>
  <c r="BS18"/>
  <c r="BR18"/>
  <c r="BT17"/>
  <c r="BS17"/>
  <c r="BR17"/>
  <c r="BT16"/>
  <c r="BS16"/>
  <c r="BR16"/>
  <c r="BT15"/>
  <c r="BS15"/>
  <c r="BR15"/>
  <c r="BT14"/>
  <c r="BS14"/>
  <c r="BR14"/>
  <c r="BT13"/>
  <c r="BS13"/>
  <c r="BR13"/>
  <c r="BT12"/>
  <c r="BS12"/>
  <c r="BR12"/>
  <c r="BT11"/>
  <c r="BS11"/>
  <c r="BR11"/>
  <c r="BT10"/>
  <c r="BS10"/>
  <c r="BR10"/>
  <c r="BT9"/>
  <c r="BS9"/>
  <c r="BR9"/>
  <c r="BT8"/>
  <c r="BS8"/>
  <c r="BR8"/>
  <c r="BT7"/>
  <c r="BS7"/>
  <c r="BR7"/>
  <c r="BT6"/>
  <c r="BS6"/>
  <c r="BR6"/>
  <c r="BT5"/>
  <c r="BS5"/>
  <c r="BR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"/>
  <c r="AM54"/>
  <c r="AM53"/>
  <c r="AM52"/>
  <c r="AM51"/>
  <c r="AM50"/>
  <c r="AM49"/>
  <c r="AM48"/>
  <c r="AM47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F119" i="18" l="1"/>
  <c r="E119"/>
  <c r="N119" s="1"/>
  <c r="F118"/>
  <c r="E118"/>
  <c r="F117"/>
  <c r="E117"/>
  <c r="R117" s="1"/>
  <c r="F116"/>
  <c r="E116"/>
  <c r="R116" s="1"/>
  <c r="F115"/>
  <c r="E115"/>
  <c r="P115" s="1"/>
  <c r="F114"/>
  <c r="E114"/>
  <c r="O114" s="1"/>
  <c r="F113"/>
  <c r="E113"/>
  <c r="R113" s="1"/>
  <c r="F112"/>
  <c r="E112"/>
  <c r="R112" s="1"/>
  <c r="F111"/>
  <c r="E111"/>
  <c r="F110"/>
  <c r="E110"/>
  <c r="L108"/>
  <c r="K108"/>
  <c r="J108"/>
  <c r="I108"/>
  <c r="H108"/>
  <c r="G108"/>
  <c r="D108"/>
  <c r="D109" s="1"/>
  <c r="C108"/>
  <c r="C109" s="1"/>
  <c r="B108"/>
  <c r="F106"/>
  <c r="E106"/>
  <c r="F105"/>
  <c r="E105"/>
  <c r="O105" s="1"/>
  <c r="F104"/>
  <c r="E104"/>
  <c r="O104" s="1"/>
  <c r="F103"/>
  <c r="E103"/>
  <c r="O103" s="1"/>
  <c r="F102"/>
  <c r="E102"/>
  <c r="F101"/>
  <c r="E101"/>
  <c r="R101" s="1"/>
  <c r="F100"/>
  <c r="E100"/>
  <c r="R100" s="1"/>
  <c r="F99"/>
  <c r="E99"/>
  <c r="R99" s="1"/>
  <c r="F98"/>
  <c r="E98"/>
  <c r="Q98" s="1"/>
  <c r="F97"/>
  <c r="E97"/>
  <c r="R97" s="1"/>
  <c r="L95"/>
  <c r="K95"/>
  <c r="J95"/>
  <c r="I95"/>
  <c r="H95"/>
  <c r="G95"/>
  <c r="D95"/>
  <c r="D96" s="1"/>
  <c r="C95"/>
  <c r="B95"/>
  <c r="B96" s="1"/>
  <c r="F93"/>
  <c r="E93"/>
  <c r="F92"/>
  <c r="E92"/>
  <c r="R92" s="1"/>
  <c r="F91"/>
  <c r="E91"/>
  <c r="P91" s="1"/>
  <c r="F90"/>
  <c r="E90"/>
  <c r="F89"/>
  <c r="E89"/>
  <c r="Q89" s="1"/>
  <c r="F88"/>
  <c r="E88"/>
  <c r="R88" s="1"/>
  <c r="F87"/>
  <c r="E87"/>
  <c r="F86"/>
  <c r="E86"/>
  <c r="F85"/>
  <c r="E85"/>
  <c r="F84"/>
  <c r="E84"/>
  <c r="P84" s="1"/>
  <c r="L82"/>
  <c r="K82"/>
  <c r="J82"/>
  <c r="I82"/>
  <c r="H82"/>
  <c r="G82"/>
  <c r="D82"/>
  <c r="D83" s="1"/>
  <c r="C82"/>
  <c r="B82"/>
  <c r="F80"/>
  <c r="E80"/>
  <c r="P80" s="1"/>
  <c r="F79"/>
  <c r="E79"/>
  <c r="F78"/>
  <c r="E78"/>
  <c r="P78" s="1"/>
  <c r="F77"/>
  <c r="E77"/>
  <c r="M77" s="1"/>
  <c r="F76"/>
  <c r="E76"/>
  <c r="M76" s="1"/>
  <c r="F75"/>
  <c r="E75"/>
  <c r="O75" s="1"/>
  <c r="F74"/>
  <c r="E74"/>
  <c r="P74" s="1"/>
  <c r="F73"/>
  <c r="E73"/>
  <c r="M73" s="1"/>
  <c r="F72"/>
  <c r="E72"/>
  <c r="M72" s="1"/>
  <c r="F71"/>
  <c r="E71"/>
  <c r="L69"/>
  <c r="K69"/>
  <c r="J69"/>
  <c r="I69"/>
  <c r="H69"/>
  <c r="G69"/>
  <c r="D69"/>
  <c r="D70" s="1"/>
  <c r="C69"/>
  <c r="B69"/>
  <c r="F67"/>
  <c r="E67"/>
  <c r="F66"/>
  <c r="E66"/>
  <c r="N66" s="1"/>
  <c r="F65"/>
  <c r="E65"/>
  <c r="F64"/>
  <c r="E64"/>
  <c r="N64" s="1"/>
  <c r="F63"/>
  <c r="E63"/>
  <c r="F62"/>
  <c r="E62"/>
  <c r="N62" s="1"/>
  <c r="F61"/>
  <c r="E61"/>
  <c r="F60"/>
  <c r="E60"/>
  <c r="F59"/>
  <c r="E59"/>
  <c r="F58"/>
  <c r="E58"/>
  <c r="N58" s="1"/>
  <c r="L56"/>
  <c r="K56"/>
  <c r="J56"/>
  <c r="I56"/>
  <c r="H56"/>
  <c r="G56"/>
  <c r="D56"/>
  <c r="D57" s="1"/>
  <c r="C56"/>
  <c r="B56"/>
  <c r="F54"/>
  <c r="E54"/>
  <c r="M54" s="1"/>
  <c r="F53"/>
  <c r="E53"/>
  <c r="F52"/>
  <c r="E52"/>
  <c r="R52" s="1"/>
  <c r="F51"/>
  <c r="E51"/>
  <c r="M51" s="1"/>
  <c r="F50"/>
  <c r="E50"/>
  <c r="P50" s="1"/>
  <c r="F49"/>
  <c r="E49"/>
  <c r="F48"/>
  <c r="E48"/>
  <c r="P48" s="1"/>
  <c r="F47"/>
  <c r="E47"/>
  <c r="M47" s="1"/>
  <c r="F46"/>
  <c r="E46"/>
  <c r="F45"/>
  <c r="E45"/>
  <c r="O45" s="1"/>
  <c r="L43"/>
  <c r="K43"/>
  <c r="J43"/>
  <c r="I43"/>
  <c r="H43"/>
  <c r="G43"/>
  <c r="D43"/>
  <c r="D44" s="1"/>
  <c r="C43"/>
  <c r="B43"/>
  <c r="F41"/>
  <c r="E41"/>
  <c r="F40"/>
  <c r="E40"/>
  <c r="F39"/>
  <c r="E39"/>
  <c r="F38"/>
  <c r="E38"/>
  <c r="F37"/>
  <c r="E37"/>
  <c r="F36"/>
  <c r="E36"/>
  <c r="F35"/>
  <c r="E35"/>
  <c r="F34"/>
  <c r="E34"/>
  <c r="P34" s="1"/>
  <c r="F33"/>
  <c r="E33"/>
  <c r="M33" s="1"/>
  <c r="F32"/>
  <c r="E32"/>
  <c r="L30"/>
  <c r="K30"/>
  <c r="J30"/>
  <c r="I30"/>
  <c r="H30"/>
  <c r="G30"/>
  <c r="D30"/>
  <c r="D31" s="1"/>
  <c r="C30"/>
  <c r="B30"/>
  <c r="F28"/>
  <c r="E28"/>
  <c r="R28" s="1"/>
  <c r="F27"/>
  <c r="E27"/>
  <c r="R27" s="1"/>
  <c r="F26"/>
  <c r="E26"/>
  <c r="R26" s="1"/>
  <c r="F25"/>
  <c r="E25"/>
  <c r="R25" s="1"/>
  <c r="F24"/>
  <c r="E24"/>
  <c r="R24" s="1"/>
  <c r="F23"/>
  <c r="E23"/>
  <c r="R23" s="1"/>
  <c r="F22"/>
  <c r="E22"/>
  <c r="R22" s="1"/>
  <c r="F21"/>
  <c r="E21"/>
  <c r="R21" s="1"/>
  <c r="F20"/>
  <c r="E20"/>
  <c r="R20" s="1"/>
  <c r="F19"/>
  <c r="E19"/>
  <c r="R19" s="1"/>
  <c r="L17"/>
  <c r="K17"/>
  <c r="J17"/>
  <c r="I17"/>
  <c r="H17"/>
  <c r="G17"/>
  <c r="D17"/>
  <c r="D18" s="1"/>
  <c r="C17"/>
  <c r="B17"/>
  <c r="B18" s="1"/>
  <c r="F15"/>
  <c r="E15"/>
  <c r="F14"/>
  <c r="E14"/>
  <c r="F13"/>
  <c r="E13"/>
  <c r="P13" s="1"/>
  <c r="F12"/>
  <c r="E12"/>
  <c r="M12" s="1"/>
  <c r="F11"/>
  <c r="E11"/>
  <c r="F10"/>
  <c r="E10"/>
  <c r="Q10" s="1"/>
  <c r="F9"/>
  <c r="E9"/>
  <c r="F8"/>
  <c r="E8"/>
  <c r="M8" s="1"/>
  <c r="F7"/>
  <c r="E7"/>
  <c r="M7" s="1"/>
  <c r="F6"/>
  <c r="E6"/>
  <c r="L4"/>
  <c r="K4"/>
  <c r="J4"/>
  <c r="I4"/>
  <c r="H4"/>
  <c r="G4"/>
  <c r="D4"/>
  <c r="D5" s="1"/>
  <c r="C4"/>
  <c r="B4"/>
  <c r="N93" i="17"/>
  <c r="M93"/>
  <c r="L93"/>
  <c r="K93"/>
  <c r="J93"/>
  <c r="I93"/>
  <c r="N92"/>
  <c r="M92"/>
  <c r="L92"/>
  <c r="K92"/>
  <c r="J92"/>
  <c r="I92"/>
  <c r="N91"/>
  <c r="M91"/>
  <c r="L91"/>
  <c r="K91"/>
  <c r="J91"/>
  <c r="I91"/>
  <c r="N90"/>
  <c r="M90"/>
  <c r="L90"/>
  <c r="K90"/>
  <c r="J90"/>
  <c r="I90"/>
  <c r="N89"/>
  <c r="M89"/>
  <c r="L89"/>
  <c r="K89"/>
  <c r="J89"/>
  <c r="I89"/>
  <c r="N88"/>
  <c r="M88"/>
  <c r="L88"/>
  <c r="K88"/>
  <c r="J88"/>
  <c r="I88"/>
  <c r="N87"/>
  <c r="M87"/>
  <c r="L87"/>
  <c r="K87"/>
  <c r="J87"/>
  <c r="I87"/>
  <c r="N86"/>
  <c r="M86"/>
  <c r="L86"/>
  <c r="K86"/>
  <c r="J86"/>
  <c r="I86"/>
  <c r="N85"/>
  <c r="M85"/>
  <c r="L85"/>
  <c r="K85"/>
  <c r="J85"/>
  <c r="I85"/>
  <c r="N84"/>
  <c r="M84"/>
  <c r="L84"/>
  <c r="K84"/>
  <c r="J84"/>
  <c r="I84"/>
  <c r="H82"/>
  <c r="G82"/>
  <c r="F82"/>
  <c r="E82"/>
  <c r="D82"/>
  <c r="C82"/>
  <c r="B82"/>
  <c r="N80"/>
  <c r="M80"/>
  <c r="L80"/>
  <c r="K80"/>
  <c r="J80"/>
  <c r="I80"/>
  <c r="N79"/>
  <c r="M79"/>
  <c r="L79"/>
  <c r="K79"/>
  <c r="J79"/>
  <c r="I79"/>
  <c r="N78"/>
  <c r="M78"/>
  <c r="L78"/>
  <c r="K78"/>
  <c r="J78"/>
  <c r="I78"/>
  <c r="N77"/>
  <c r="M77"/>
  <c r="L77"/>
  <c r="K77"/>
  <c r="J77"/>
  <c r="I77"/>
  <c r="N76"/>
  <c r="M76"/>
  <c r="L76"/>
  <c r="K76"/>
  <c r="J76"/>
  <c r="I76"/>
  <c r="N75"/>
  <c r="M75"/>
  <c r="L75"/>
  <c r="K75"/>
  <c r="J75"/>
  <c r="I75"/>
  <c r="N74"/>
  <c r="M74"/>
  <c r="L74"/>
  <c r="K74"/>
  <c r="J74"/>
  <c r="I74"/>
  <c r="N73"/>
  <c r="M73"/>
  <c r="L73"/>
  <c r="K73"/>
  <c r="J73"/>
  <c r="I73"/>
  <c r="N72"/>
  <c r="M72"/>
  <c r="L72"/>
  <c r="K72"/>
  <c r="J72"/>
  <c r="I72"/>
  <c r="N71"/>
  <c r="M71"/>
  <c r="L71"/>
  <c r="K71"/>
  <c r="J71"/>
  <c r="I71"/>
  <c r="H69"/>
  <c r="G69"/>
  <c r="F69"/>
  <c r="E69"/>
  <c r="D69"/>
  <c r="C69"/>
  <c r="B69"/>
  <c r="N67"/>
  <c r="M67"/>
  <c r="L67"/>
  <c r="K67"/>
  <c r="J67"/>
  <c r="I67"/>
  <c r="N66"/>
  <c r="M66"/>
  <c r="L66"/>
  <c r="K66"/>
  <c r="J66"/>
  <c r="I66"/>
  <c r="N65"/>
  <c r="M65"/>
  <c r="L65"/>
  <c r="K65"/>
  <c r="J65"/>
  <c r="I65"/>
  <c r="N64"/>
  <c r="M64"/>
  <c r="L64"/>
  <c r="K64"/>
  <c r="J64"/>
  <c r="I64"/>
  <c r="N63"/>
  <c r="M63"/>
  <c r="L63"/>
  <c r="K63"/>
  <c r="J63"/>
  <c r="I63"/>
  <c r="N62"/>
  <c r="M62"/>
  <c r="L62"/>
  <c r="K62"/>
  <c r="J62"/>
  <c r="I62"/>
  <c r="N61"/>
  <c r="M61"/>
  <c r="L61"/>
  <c r="K61"/>
  <c r="J61"/>
  <c r="I61"/>
  <c r="N60"/>
  <c r="M60"/>
  <c r="L60"/>
  <c r="K60"/>
  <c r="J60"/>
  <c r="I60"/>
  <c r="N59"/>
  <c r="M59"/>
  <c r="L59"/>
  <c r="K59"/>
  <c r="J59"/>
  <c r="I59"/>
  <c r="N58"/>
  <c r="M58"/>
  <c r="L58"/>
  <c r="K58"/>
  <c r="J58"/>
  <c r="I58"/>
  <c r="H56"/>
  <c r="G56"/>
  <c r="F56"/>
  <c r="E56"/>
  <c r="D56"/>
  <c r="C56"/>
  <c r="B56"/>
  <c r="N54"/>
  <c r="M54"/>
  <c r="L54"/>
  <c r="K54"/>
  <c r="J54"/>
  <c r="I54"/>
  <c r="N53"/>
  <c r="M53"/>
  <c r="L53"/>
  <c r="K53"/>
  <c r="J53"/>
  <c r="I53"/>
  <c r="N52"/>
  <c r="M52"/>
  <c r="L52"/>
  <c r="K52"/>
  <c r="J52"/>
  <c r="I52"/>
  <c r="N51"/>
  <c r="M51"/>
  <c r="L51"/>
  <c r="K51"/>
  <c r="J51"/>
  <c r="I51"/>
  <c r="N50"/>
  <c r="M50"/>
  <c r="L50"/>
  <c r="K50"/>
  <c r="J50"/>
  <c r="I50"/>
  <c r="N49"/>
  <c r="M49"/>
  <c r="L49"/>
  <c r="K49"/>
  <c r="J49"/>
  <c r="I49"/>
  <c r="N48"/>
  <c r="M48"/>
  <c r="L48"/>
  <c r="K48"/>
  <c r="J48"/>
  <c r="I48"/>
  <c r="N47"/>
  <c r="M47"/>
  <c r="L47"/>
  <c r="K47"/>
  <c r="J47"/>
  <c r="I47"/>
  <c r="N46"/>
  <c r="M46"/>
  <c r="L46"/>
  <c r="K46"/>
  <c r="J46"/>
  <c r="I46"/>
  <c r="N45"/>
  <c r="M45"/>
  <c r="L45"/>
  <c r="K45"/>
  <c r="J45"/>
  <c r="I45"/>
  <c r="H43"/>
  <c r="G43"/>
  <c r="F43"/>
  <c r="E43"/>
  <c r="D43"/>
  <c r="C43"/>
  <c r="B43"/>
  <c r="E44" s="1"/>
  <c r="N41"/>
  <c r="M41"/>
  <c r="L41"/>
  <c r="K41"/>
  <c r="J41"/>
  <c r="I41"/>
  <c r="N40"/>
  <c r="M40"/>
  <c r="L40"/>
  <c r="K40"/>
  <c r="J40"/>
  <c r="I40"/>
  <c r="N39"/>
  <c r="M39"/>
  <c r="L39"/>
  <c r="K39"/>
  <c r="J39"/>
  <c r="I39"/>
  <c r="N38"/>
  <c r="M38"/>
  <c r="L38"/>
  <c r="K38"/>
  <c r="J38"/>
  <c r="I38"/>
  <c r="N37"/>
  <c r="M37"/>
  <c r="L37"/>
  <c r="K37"/>
  <c r="J37"/>
  <c r="I37"/>
  <c r="N36"/>
  <c r="M36"/>
  <c r="L36"/>
  <c r="K36"/>
  <c r="J36"/>
  <c r="I36"/>
  <c r="N35"/>
  <c r="M35"/>
  <c r="L35"/>
  <c r="K35"/>
  <c r="J35"/>
  <c r="I35"/>
  <c r="N34"/>
  <c r="M34"/>
  <c r="L34"/>
  <c r="K34"/>
  <c r="J34"/>
  <c r="I34"/>
  <c r="N33"/>
  <c r="M33"/>
  <c r="L33"/>
  <c r="K33"/>
  <c r="J33"/>
  <c r="I33"/>
  <c r="N32"/>
  <c r="M32"/>
  <c r="L32"/>
  <c r="K32"/>
  <c r="J32"/>
  <c r="I32"/>
  <c r="H30"/>
  <c r="G30"/>
  <c r="F30"/>
  <c r="E30"/>
  <c r="D30"/>
  <c r="C30"/>
  <c r="B30"/>
  <c r="E31" s="1"/>
  <c r="N28"/>
  <c r="M28"/>
  <c r="L28"/>
  <c r="K28"/>
  <c r="J28"/>
  <c r="I28"/>
  <c r="N27"/>
  <c r="M27"/>
  <c r="L27"/>
  <c r="K27"/>
  <c r="J27"/>
  <c r="I27"/>
  <c r="N26"/>
  <c r="M26"/>
  <c r="L26"/>
  <c r="K26"/>
  <c r="J26"/>
  <c r="I26"/>
  <c r="N25"/>
  <c r="M25"/>
  <c r="L25"/>
  <c r="K25"/>
  <c r="J25"/>
  <c r="I25"/>
  <c r="N24"/>
  <c r="M24"/>
  <c r="L24"/>
  <c r="K24"/>
  <c r="J24"/>
  <c r="I24"/>
  <c r="N23"/>
  <c r="M23"/>
  <c r="L23"/>
  <c r="K23"/>
  <c r="J23"/>
  <c r="I23"/>
  <c r="N22"/>
  <c r="M22"/>
  <c r="L22"/>
  <c r="K22"/>
  <c r="J22"/>
  <c r="I22"/>
  <c r="N21"/>
  <c r="M21"/>
  <c r="L21"/>
  <c r="K21"/>
  <c r="J21"/>
  <c r="I21"/>
  <c r="N20"/>
  <c r="M20"/>
  <c r="L20"/>
  <c r="K20"/>
  <c r="J20"/>
  <c r="I20"/>
  <c r="N19"/>
  <c r="M19"/>
  <c r="L19"/>
  <c r="K19"/>
  <c r="J19"/>
  <c r="I19"/>
  <c r="H17"/>
  <c r="G17"/>
  <c r="F17"/>
  <c r="E17"/>
  <c r="D17"/>
  <c r="C17"/>
  <c r="B17"/>
  <c r="E18" s="1"/>
  <c r="N15"/>
  <c r="M15"/>
  <c r="L15"/>
  <c r="K15"/>
  <c r="J15"/>
  <c r="I15"/>
  <c r="N14"/>
  <c r="M14"/>
  <c r="L14"/>
  <c r="K14"/>
  <c r="J14"/>
  <c r="I14"/>
  <c r="N13"/>
  <c r="M13"/>
  <c r="L13"/>
  <c r="K13"/>
  <c r="J13"/>
  <c r="I13"/>
  <c r="N12"/>
  <c r="M12"/>
  <c r="L12"/>
  <c r="K12"/>
  <c r="J12"/>
  <c r="I12"/>
  <c r="N11"/>
  <c r="M11"/>
  <c r="L11"/>
  <c r="K11"/>
  <c r="J11"/>
  <c r="I11"/>
  <c r="N10"/>
  <c r="M10"/>
  <c r="L10"/>
  <c r="K10"/>
  <c r="J10"/>
  <c r="I10"/>
  <c r="N9"/>
  <c r="M9"/>
  <c r="L9"/>
  <c r="K9"/>
  <c r="J9"/>
  <c r="I9"/>
  <c r="N8"/>
  <c r="M8"/>
  <c r="L8"/>
  <c r="K8"/>
  <c r="J8"/>
  <c r="I8"/>
  <c r="N7"/>
  <c r="M7"/>
  <c r="L7"/>
  <c r="K7"/>
  <c r="J7"/>
  <c r="I7"/>
  <c r="N6"/>
  <c r="M6"/>
  <c r="L6"/>
  <c r="K6"/>
  <c r="J6"/>
  <c r="I6"/>
  <c r="H4"/>
  <c r="G4"/>
  <c r="F4"/>
  <c r="E4"/>
  <c r="D4"/>
  <c r="C4"/>
  <c r="B4"/>
  <c r="C5" s="1"/>
  <c r="R64" i="18" l="1"/>
  <c r="Q77"/>
  <c r="Q7"/>
  <c r="Q12"/>
  <c r="Q47"/>
  <c r="Q73"/>
  <c r="R103"/>
  <c r="Q88"/>
  <c r="R66"/>
  <c r="R72"/>
  <c r="Q117"/>
  <c r="Q33"/>
  <c r="Q75"/>
  <c r="Q112"/>
  <c r="R8"/>
  <c r="Q45"/>
  <c r="Q43" s="1"/>
  <c r="Q54"/>
  <c r="C57"/>
  <c r="O7"/>
  <c r="R7"/>
  <c r="O12"/>
  <c r="R12"/>
  <c r="O33"/>
  <c r="R33"/>
  <c r="O54"/>
  <c r="R54"/>
  <c r="R58"/>
  <c r="R105"/>
  <c r="O117"/>
  <c r="O10"/>
  <c r="O51"/>
  <c r="R51"/>
  <c r="F56"/>
  <c r="K57" s="1"/>
  <c r="O73"/>
  <c r="R73"/>
  <c r="O47"/>
  <c r="R47"/>
  <c r="Q51"/>
  <c r="R62"/>
  <c r="O77"/>
  <c r="R77"/>
  <c r="O88"/>
  <c r="R104"/>
  <c r="M9"/>
  <c r="Q9"/>
  <c r="R9"/>
  <c r="O9"/>
  <c r="N9"/>
  <c r="M11"/>
  <c r="R11"/>
  <c r="Q11"/>
  <c r="O11"/>
  <c r="N11"/>
  <c r="M15"/>
  <c r="R15"/>
  <c r="N15"/>
  <c r="P15"/>
  <c r="R17"/>
  <c r="M32"/>
  <c r="R32"/>
  <c r="Q32"/>
  <c r="O32"/>
  <c r="N32"/>
  <c r="R60"/>
  <c r="E56"/>
  <c r="N60"/>
  <c r="M71"/>
  <c r="R71"/>
  <c r="Q71"/>
  <c r="O71"/>
  <c r="E69"/>
  <c r="N71"/>
  <c r="C83"/>
  <c r="M13"/>
  <c r="Q13"/>
  <c r="O13"/>
  <c r="N13"/>
  <c r="R13"/>
  <c r="O15"/>
  <c r="Q15"/>
  <c r="Q34"/>
  <c r="R34"/>
  <c r="O34"/>
  <c r="N34"/>
  <c r="M46"/>
  <c r="R46"/>
  <c r="Q46"/>
  <c r="O46"/>
  <c r="E43"/>
  <c r="P46"/>
  <c r="N46"/>
  <c r="M50"/>
  <c r="R50"/>
  <c r="Q50"/>
  <c r="O50"/>
  <c r="N50"/>
  <c r="O97"/>
  <c r="E4"/>
  <c r="M6"/>
  <c r="R6"/>
  <c r="N6"/>
  <c r="P6"/>
  <c r="E30"/>
  <c r="F43"/>
  <c r="K44" s="1"/>
  <c r="M52"/>
  <c r="Q52"/>
  <c r="O52"/>
  <c r="P52"/>
  <c r="N52"/>
  <c r="E82"/>
  <c r="O101"/>
  <c r="F4"/>
  <c r="J5" s="1"/>
  <c r="O6"/>
  <c r="Q6"/>
  <c r="P9"/>
  <c r="P11"/>
  <c r="P32"/>
  <c r="P71"/>
  <c r="M80"/>
  <c r="R80"/>
  <c r="Q80"/>
  <c r="O80"/>
  <c r="N80"/>
  <c r="M48"/>
  <c r="Q48"/>
  <c r="O48"/>
  <c r="N48"/>
  <c r="R48"/>
  <c r="M53"/>
  <c r="R53"/>
  <c r="N53"/>
  <c r="P53"/>
  <c r="F69"/>
  <c r="L70" s="1"/>
  <c r="N76"/>
  <c r="P76"/>
  <c r="M78"/>
  <c r="Q78"/>
  <c r="O78"/>
  <c r="N78"/>
  <c r="R78"/>
  <c r="N86"/>
  <c r="F95"/>
  <c r="H96" s="1"/>
  <c r="O100"/>
  <c r="O112"/>
  <c r="N113"/>
  <c r="P113"/>
  <c r="N8"/>
  <c r="P8"/>
  <c r="M14"/>
  <c r="R14"/>
  <c r="N14"/>
  <c r="P14"/>
  <c r="F30"/>
  <c r="I31" s="1"/>
  <c r="M49"/>
  <c r="R49"/>
  <c r="N49"/>
  <c r="P49"/>
  <c r="O53"/>
  <c r="Q53"/>
  <c r="N72"/>
  <c r="P72"/>
  <c r="M74"/>
  <c r="Q74"/>
  <c r="O74"/>
  <c r="N74"/>
  <c r="R74"/>
  <c r="O76"/>
  <c r="Q76"/>
  <c r="M79"/>
  <c r="R79"/>
  <c r="N79"/>
  <c r="P79"/>
  <c r="R91"/>
  <c r="Q91"/>
  <c r="O91"/>
  <c r="N91"/>
  <c r="N92"/>
  <c r="P92"/>
  <c r="O99"/>
  <c r="O113"/>
  <c r="Q113"/>
  <c r="N7"/>
  <c r="P7"/>
  <c r="O8"/>
  <c r="Q8"/>
  <c r="M10"/>
  <c r="R10"/>
  <c r="N10"/>
  <c r="P10"/>
  <c r="O14"/>
  <c r="Q14"/>
  <c r="F17"/>
  <c r="L18" s="1"/>
  <c r="M45"/>
  <c r="R45"/>
  <c r="N45"/>
  <c r="P45"/>
  <c r="O49"/>
  <c r="Q49"/>
  <c r="N54"/>
  <c r="P54"/>
  <c r="O72"/>
  <c r="Q72"/>
  <c r="M75"/>
  <c r="R75"/>
  <c r="N75"/>
  <c r="P75"/>
  <c r="R76"/>
  <c r="O79"/>
  <c r="Q79"/>
  <c r="R84"/>
  <c r="Q84"/>
  <c r="O84"/>
  <c r="N84"/>
  <c r="O92"/>
  <c r="Q92"/>
  <c r="N12"/>
  <c r="P12"/>
  <c r="N33"/>
  <c r="P33"/>
  <c r="N47"/>
  <c r="P47"/>
  <c r="N51"/>
  <c r="P51"/>
  <c r="B57"/>
  <c r="N73"/>
  <c r="P73"/>
  <c r="N77"/>
  <c r="P77"/>
  <c r="N88"/>
  <c r="P88"/>
  <c r="N117"/>
  <c r="P117"/>
  <c r="I31" i="17"/>
  <c r="K56"/>
  <c r="K4"/>
  <c r="K82"/>
  <c r="L43"/>
  <c r="I44"/>
  <c r="B31"/>
  <c r="N43"/>
  <c r="L17"/>
  <c r="D31"/>
  <c r="I18"/>
  <c r="N17"/>
  <c r="F31"/>
  <c r="J30"/>
  <c r="N31"/>
  <c r="J70"/>
  <c r="H70"/>
  <c r="K69"/>
  <c r="L4"/>
  <c r="L5"/>
  <c r="M83"/>
  <c r="F83"/>
  <c r="B83"/>
  <c r="G83"/>
  <c r="H83"/>
  <c r="H5"/>
  <c r="L30"/>
  <c r="N30"/>
  <c r="K43"/>
  <c r="J57"/>
  <c r="J56"/>
  <c r="N57"/>
  <c r="I69"/>
  <c r="D83"/>
  <c r="M82"/>
  <c r="J4"/>
  <c r="J17"/>
  <c r="M17"/>
  <c r="M31"/>
  <c r="M44"/>
  <c r="F57"/>
  <c r="E57"/>
  <c r="B57"/>
  <c r="M69"/>
  <c r="E83"/>
  <c r="I56"/>
  <c r="N4"/>
  <c r="M4"/>
  <c r="M18"/>
  <c r="I30"/>
  <c r="M56"/>
  <c r="L56"/>
  <c r="K31"/>
  <c r="J43"/>
  <c r="M43"/>
  <c r="N69"/>
  <c r="J83"/>
  <c r="K31" i="18"/>
  <c r="J31"/>
  <c r="H31"/>
  <c r="E31"/>
  <c r="F70"/>
  <c r="B5"/>
  <c r="C70"/>
  <c r="R87"/>
  <c r="Q87"/>
  <c r="O87"/>
  <c r="M87"/>
  <c r="P87"/>
  <c r="R110"/>
  <c r="P110"/>
  <c r="N110"/>
  <c r="E108"/>
  <c r="O110"/>
  <c r="M110"/>
  <c r="E5"/>
  <c r="Q36"/>
  <c r="O36"/>
  <c r="M36"/>
  <c r="P36"/>
  <c r="Q38"/>
  <c r="O38"/>
  <c r="M38"/>
  <c r="P38"/>
  <c r="Q40"/>
  <c r="O40"/>
  <c r="M40"/>
  <c r="P40"/>
  <c r="B44"/>
  <c r="J44"/>
  <c r="N87"/>
  <c r="R93"/>
  <c r="P93"/>
  <c r="N93"/>
  <c r="M93"/>
  <c r="Q93"/>
  <c r="J96"/>
  <c r="F96"/>
  <c r="I96"/>
  <c r="P98"/>
  <c r="N98"/>
  <c r="R98"/>
  <c r="O98"/>
  <c r="M98"/>
  <c r="P102"/>
  <c r="N102"/>
  <c r="R102"/>
  <c r="O102"/>
  <c r="Q102"/>
  <c r="M102"/>
  <c r="Q19"/>
  <c r="O19"/>
  <c r="P19"/>
  <c r="N19"/>
  <c r="E17"/>
  <c r="M19"/>
  <c r="Q20"/>
  <c r="O20"/>
  <c r="P20"/>
  <c r="N20"/>
  <c r="M20"/>
  <c r="Q21"/>
  <c r="O21"/>
  <c r="P21"/>
  <c r="N21"/>
  <c r="M21"/>
  <c r="Q22"/>
  <c r="O22"/>
  <c r="P22"/>
  <c r="N22"/>
  <c r="M22"/>
  <c r="Q23"/>
  <c r="O23"/>
  <c r="P23"/>
  <c r="N23"/>
  <c r="M23"/>
  <c r="Q24"/>
  <c r="O24"/>
  <c r="P24"/>
  <c r="N24"/>
  <c r="M24"/>
  <c r="Q25"/>
  <c r="O25"/>
  <c r="P25"/>
  <c r="N25"/>
  <c r="M25"/>
  <c r="Q26"/>
  <c r="O26"/>
  <c r="P26"/>
  <c r="N26"/>
  <c r="M26"/>
  <c r="Q27"/>
  <c r="O27"/>
  <c r="P27"/>
  <c r="N27"/>
  <c r="M27"/>
  <c r="Q28"/>
  <c r="O28"/>
  <c r="P28"/>
  <c r="N28"/>
  <c r="M28"/>
  <c r="B31"/>
  <c r="N36"/>
  <c r="R36"/>
  <c r="N38"/>
  <c r="R38"/>
  <c r="N40"/>
  <c r="R40"/>
  <c r="C44"/>
  <c r="F82"/>
  <c r="O93"/>
  <c r="C18"/>
  <c r="Q58"/>
  <c r="O58"/>
  <c r="M58"/>
  <c r="P58"/>
  <c r="Q60"/>
  <c r="O60"/>
  <c r="M60"/>
  <c r="P60"/>
  <c r="Q62"/>
  <c r="O62"/>
  <c r="M62"/>
  <c r="P62"/>
  <c r="Q64"/>
  <c r="O64"/>
  <c r="M64"/>
  <c r="P64"/>
  <c r="Q66"/>
  <c r="O66"/>
  <c r="M66"/>
  <c r="P66"/>
  <c r="B70"/>
  <c r="R89"/>
  <c r="P89"/>
  <c r="N89"/>
  <c r="O89"/>
  <c r="M89"/>
  <c r="Q110"/>
  <c r="R115"/>
  <c r="Q115"/>
  <c r="O115"/>
  <c r="N115"/>
  <c r="M115"/>
  <c r="P106"/>
  <c r="N106"/>
  <c r="M106"/>
  <c r="Q106"/>
  <c r="R111"/>
  <c r="Q111"/>
  <c r="O111"/>
  <c r="M111"/>
  <c r="P111"/>
  <c r="M116"/>
  <c r="Q35"/>
  <c r="O35"/>
  <c r="M35"/>
  <c r="P35"/>
  <c r="Q37"/>
  <c r="O37"/>
  <c r="M37"/>
  <c r="P37"/>
  <c r="Q39"/>
  <c r="O39"/>
  <c r="M39"/>
  <c r="P39"/>
  <c r="Q41"/>
  <c r="O41"/>
  <c r="M41"/>
  <c r="P41"/>
  <c r="Q59"/>
  <c r="O59"/>
  <c r="M59"/>
  <c r="P59"/>
  <c r="Q61"/>
  <c r="O61"/>
  <c r="M61"/>
  <c r="P61"/>
  <c r="Q63"/>
  <c r="O63"/>
  <c r="M63"/>
  <c r="P63"/>
  <c r="Q65"/>
  <c r="O65"/>
  <c r="M65"/>
  <c r="P65"/>
  <c r="Q67"/>
  <c r="O67"/>
  <c r="M67"/>
  <c r="P67"/>
  <c r="R85"/>
  <c r="P85"/>
  <c r="N85"/>
  <c r="M85"/>
  <c r="Q85"/>
  <c r="R90"/>
  <c r="Q90"/>
  <c r="O90"/>
  <c r="M90"/>
  <c r="P90"/>
  <c r="C96"/>
  <c r="O106"/>
  <c r="R106"/>
  <c r="F108"/>
  <c r="N111"/>
  <c r="M112"/>
  <c r="N116"/>
  <c r="P116"/>
  <c r="R118"/>
  <c r="P118"/>
  <c r="N118"/>
  <c r="M118"/>
  <c r="Q118"/>
  <c r="C5"/>
  <c r="C31"/>
  <c r="M34"/>
  <c r="N35"/>
  <c r="R35"/>
  <c r="N37"/>
  <c r="R37"/>
  <c r="N39"/>
  <c r="R39"/>
  <c r="N41"/>
  <c r="R41"/>
  <c r="N59"/>
  <c r="R59"/>
  <c r="N61"/>
  <c r="R61"/>
  <c r="N63"/>
  <c r="R63"/>
  <c r="N65"/>
  <c r="R65"/>
  <c r="N67"/>
  <c r="R67"/>
  <c r="O85"/>
  <c r="R86"/>
  <c r="Q86"/>
  <c r="O86"/>
  <c r="M86"/>
  <c r="P86"/>
  <c r="N90"/>
  <c r="M91"/>
  <c r="P100"/>
  <c r="N100"/>
  <c r="M100"/>
  <c r="Q100"/>
  <c r="P104"/>
  <c r="N104"/>
  <c r="M104"/>
  <c r="Q104"/>
  <c r="N112"/>
  <c r="P112"/>
  <c r="R114"/>
  <c r="P114"/>
  <c r="N114"/>
  <c r="M114"/>
  <c r="Q114"/>
  <c r="O116"/>
  <c r="Q116"/>
  <c r="O118"/>
  <c r="R119"/>
  <c r="Q119"/>
  <c r="O119"/>
  <c r="M119"/>
  <c r="P119"/>
  <c r="B83"/>
  <c r="M84"/>
  <c r="M88"/>
  <c r="M92"/>
  <c r="P97"/>
  <c r="N97"/>
  <c r="E95"/>
  <c r="M97"/>
  <c r="Q97"/>
  <c r="P99"/>
  <c r="N99"/>
  <c r="M99"/>
  <c r="Q99"/>
  <c r="P101"/>
  <c r="N101"/>
  <c r="M101"/>
  <c r="Q101"/>
  <c r="P103"/>
  <c r="N103"/>
  <c r="M103"/>
  <c r="Q103"/>
  <c r="P105"/>
  <c r="N105"/>
  <c r="M105"/>
  <c r="Q105"/>
  <c r="B109"/>
  <c r="M113"/>
  <c r="M117"/>
  <c r="N5" i="17"/>
  <c r="F5"/>
  <c r="D5"/>
  <c r="B5"/>
  <c r="J5"/>
  <c r="I4"/>
  <c r="J82"/>
  <c r="L83"/>
  <c r="G5"/>
  <c r="K5"/>
  <c r="K17"/>
  <c r="E5"/>
  <c r="I5"/>
  <c r="M5"/>
  <c r="L70"/>
  <c r="N18"/>
  <c r="F18"/>
  <c r="D18"/>
  <c r="B18"/>
  <c r="J18"/>
  <c r="I17"/>
  <c r="N44"/>
  <c r="F44"/>
  <c r="D44"/>
  <c r="B44"/>
  <c r="J44"/>
  <c r="I43"/>
  <c r="K70"/>
  <c r="L69"/>
  <c r="L82"/>
  <c r="G18"/>
  <c r="K18"/>
  <c r="M30"/>
  <c r="G44"/>
  <c r="K44"/>
  <c r="I70"/>
  <c r="G70"/>
  <c r="E70"/>
  <c r="M70"/>
  <c r="D70"/>
  <c r="B70"/>
  <c r="C70"/>
  <c r="N70"/>
  <c r="I83"/>
  <c r="C18"/>
  <c r="H18"/>
  <c r="L18"/>
  <c r="L31"/>
  <c r="J31"/>
  <c r="H31"/>
  <c r="C31"/>
  <c r="G31"/>
  <c r="K30"/>
  <c r="C44"/>
  <c r="H44"/>
  <c r="L44"/>
  <c r="M57"/>
  <c r="K57"/>
  <c r="C57"/>
  <c r="L57"/>
  <c r="H57"/>
  <c r="D57"/>
  <c r="G57"/>
  <c r="I57"/>
  <c r="F70"/>
  <c r="J69"/>
  <c r="I82"/>
  <c r="N82"/>
  <c r="N83"/>
  <c r="N56"/>
  <c r="C83"/>
  <c r="K83"/>
  <c r="F5" i="18" l="1"/>
  <c r="H44"/>
  <c r="I5"/>
  <c r="G18"/>
  <c r="G44"/>
  <c r="L5"/>
  <c r="I44"/>
  <c r="K5"/>
  <c r="H5"/>
  <c r="F57"/>
  <c r="G5"/>
  <c r="E57"/>
  <c r="G31"/>
  <c r="N57"/>
  <c r="P5"/>
  <c r="L44"/>
  <c r="E44"/>
  <c r="H70"/>
  <c r="R70"/>
  <c r="M30"/>
  <c r="F44"/>
  <c r="R44"/>
  <c r="R5"/>
  <c r="R18"/>
  <c r="K96"/>
  <c r="E96"/>
  <c r="L96"/>
  <c r="L57"/>
  <c r="P70"/>
  <c r="Q44"/>
  <c r="Q70"/>
  <c r="M70"/>
  <c r="F18"/>
  <c r="R31"/>
  <c r="R96"/>
  <c r="H57"/>
  <c r="G57"/>
  <c r="Q5"/>
  <c r="P82"/>
  <c r="J57"/>
  <c r="G96"/>
  <c r="I57"/>
  <c r="R69"/>
  <c r="N4"/>
  <c r="M44"/>
  <c r="O44"/>
  <c r="N70"/>
  <c r="P30"/>
  <c r="R95"/>
  <c r="O43"/>
  <c r="O69"/>
  <c r="N96"/>
  <c r="Q82"/>
  <c r="P69"/>
  <c r="O18"/>
  <c r="N5"/>
  <c r="I70"/>
  <c r="N43"/>
  <c r="O4"/>
  <c r="R4"/>
  <c r="Q69"/>
  <c r="O82"/>
  <c r="R56"/>
  <c r="N30"/>
  <c r="O31"/>
  <c r="O57"/>
  <c r="O96"/>
  <c r="M96"/>
  <c r="P31"/>
  <c r="G70"/>
  <c r="J70"/>
  <c r="E70"/>
  <c r="K70"/>
  <c r="L31"/>
  <c r="R43"/>
  <c r="H18"/>
  <c r="K18"/>
  <c r="I18"/>
  <c r="J18"/>
  <c r="P4"/>
  <c r="M4"/>
  <c r="P95"/>
  <c r="N56"/>
  <c r="M31"/>
  <c r="N82"/>
  <c r="M57"/>
  <c r="Q31"/>
  <c r="N69"/>
  <c r="Q57"/>
  <c r="E18"/>
  <c r="O5"/>
  <c r="P18"/>
  <c r="Q18"/>
  <c r="O95"/>
  <c r="N44"/>
  <c r="M5"/>
  <c r="O70"/>
  <c r="F31"/>
  <c r="P43"/>
  <c r="P44"/>
  <c r="M43"/>
  <c r="Q4"/>
  <c r="M69"/>
  <c r="P56"/>
  <c r="R83"/>
  <c r="J83"/>
  <c r="H83"/>
  <c r="F83"/>
  <c r="N83"/>
  <c r="E83"/>
  <c r="Q83"/>
  <c r="G83"/>
  <c r="P83"/>
  <c r="O83"/>
  <c r="K83"/>
  <c r="M83"/>
  <c r="L83"/>
  <c r="I83"/>
  <c r="N17"/>
  <c r="M108"/>
  <c r="Q30"/>
  <c r="N95"/>
  <c r="R30"/>
  <c r="M56"/>
  <c r="N18"/>
  <c r="P17"/>
  <c r="P96"/>
  <c r="N108"/>
  <c r="R57"/>
  <c r="O30"/>
  <c r="N31"/>
  <c r="Q95"/>
  <c r="R109"/>
  <c r="J109"/>
  <c r="H109"/>
  <c r="F109"/>
  <c r="O109"/>
  <c r="K109"/>
  <c r="Q109"/>
  <c r="G109"/>
  <c r="P109"/>
  <c r="N109"/>
  <c r="E109"/>
  <c r="M109"/>
  <c r="L109"/>
  <c r="I109"/>
  <c r="R82"/>
  <c r="O56"/>
  <c r="M18"/>
  <c r="M17"/>
  <c r="O17"/>
  <c r="P108"/>
  <c r="P57"/>
  <c r="M95"/>
  <c r="M82"/>
  <c r="Q108"/>
  <c r="Q56"/>
  <c r="Q17"/>
  <c r="Q96"/>
  <c r="O108"/>
  <c r="R108"/>
  <c r="V160" i="11" l="1"/>
  <c r="V159"/>
  <c r="V158"/>
  <c r="V157"/>
  <c r="V156"/>
  <c r="V155"/>
  <c r="V154"/>
  <c r="V152"/>
  <c r="V150"/>
  <c r="V148"/>
  <c r="V102"/>
  <c r="V101"/>
  <c r="V100"/>
  <c r="V99"/>
  <c r="V98"/>
  <c r="V97"/>
  <c r="V96"/>
  <c r="V94"/>
  <c r="V92"/>
  <c r="V90"/>
  <c r="V170" i="16"/>
  <c r="V169"/>
  <c r="V168"/>
  <c r="V167"/>
  <c r="V166"/>
  <c r="V165"/>
  <c r="V164"/>
  <c r="V163"/>
  <c r="V162"/>
  <c r="V161"/>
  <c r="V112"/>
  <c r="V111"/>
  <c r="V110"/>
  <c r="V109"/>
  <c r="V108"/>
  <c r="V107"/>
  <c r="V106"/>
  <c r="V105"/>
  <c r="V104"/>
  <c r="V103"/>
  <c r="V46"/>
  <c r="V47"/>
  <c r="V48"/>
  <c r="V49"/>
  <c r="V50"/>
  <c r="V51"/>
  <c r="V52"/>
  <c r="V53"/>
  <c r="V54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8"/>
  <c r="V102"/>
  <c r="V101"/>
  <c r="V100"/>
  <c r="V99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6"/>
  <c r="V160"/>
  <c r="V159"/>
  <c r="V158"/>
  <c r="V157"/>
  <c r="V156"/>
  <c r="V155"/>
  <c r="V154"/>
  <c r="V153"/>
  <c r="V152"/>
  <c r="V151"/>
  <c r="V150"/>
  <c r="V149"/>
  <c r="V148"/>
  <c r="V147"/>
  <c r="V146"/>
  <c r="V145"/>
  <c r="V144"/>
  <c r="V143"/>
  <c r="V142"/>
  <c r="V141"/>
  <c r="V140"/>
  <c r="V139"/>
  <c r="V138"/>
  <c r="V137"/>
  <c r="V136"/>
  <c r="V134"/>
  <c r="R170" l="1"/>
  <c r="R169"/>
  <c r="R168"/>
  <c r="R167"/>
  <c r="R166"/>
  <c r="R165"/>
  <c r="R164"/>
  <c r="R163"/>
  <c r="R162"/>
  <c r="R161"/>
  <c r="K170"/>
  <c r="K169"/>
  <c r="K168"/>
  <c r="K167"/>
  <c r="K166"/>
  <c r="K165"/>
  <c r="K164"/>
  <c r="K163"/>
  <c r="K162"/>
  <c r="K161"/>
  <c r="K112"/>
  <c r="K111"/>
  <c r="K110"/>
  <c r="K109"/>
  <c r="K108"/>
  <c r="K107"/>
  <c r="K106"/>
  <c r="K105"/>
  <c r="K104"/>
  <c r="K103"/>
  <c r="R112"/>
  <c r="R111"/>
  <c r="R110"/>
  <c r="R109"/>
  <c r="R108"/>
  <c r="R107"/>
  <c r="R106"/>
  <c r="R105"/>
  <c r="R104"/>
  <c r="R103"/>
  <c r="R54"/>
  <c r="R53"/>
  <c r="R52"/>
  <c r="R51"/>
  <c r="R50"/>
  <c r="R49"/>
  <c r="R48"/>
  <c r="R47"/>
  <c r="R46"/>
  <c r="R45"/>
  <c r="R160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R102"/>
  <c r="R101"/>
  <c r="R100"/>
  <c r="R99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C170" l="1"/>
  <c r="C169"/>
  <c r="C168"/>
  <c r="C167"/>
  <c r="C166"/>
  <c r="C165"/>
  <c r="C164"/>
  <c r="C163"/>
  <c r="C162"/>
  <c r="U162" s="1"/>
  <c r="C161"/>
  <c r="U161" s="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12"/>
  <c r="U112" s="1"/>
  <c r="C111"/>
  <c r="U111" s="1"/>
  <c r="C110"/>
  <c r="U110" s="1"/>
  <c r="C109"/>
  <c r="U109" s="1"/>
  <c r="C108"/>
  <c r="U108" s="1"/>
  <c r="C107"/>
  <c r="U107" s="1"/>
  <c r="C106"/>
  <c r="U106" s="1"/>
  <c r="C105"/>
  <c r="U105" s="1"/>
  <c r="C104"/>
  <c r="U104" s="1"/>
  <c r="C103"/>
  <c r="U103" s="1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54"/>
  <c r="U54" s="1"/>
  <c r="C53"/>
  <c r="U53" s="1"/>
  <c r="C52"/>
  <c r="U52" s="1"/>
  <c r="C51"/>
  <c r="U51" s="1"/>
  <c r="C50"/>
  <c r="U50" s="1"/>
  <c r="C49"/>
  <c r="U49" s="1"/>
  <c r="C48"/>
  <c r="U48" s="1"/>
  <c r="C47"/>
  <c r="U47" s="1"/>
  <c r="C46"/>
  <c r="U46" s="1"/>
  <c r="C45"/>
  <c r="U45" s="1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K54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C173" l="1"/>
  <c r="C115"/>
  <c r="C57"/>
  <c r="V128"/>
  <c r="U160"/>
  <c r="V127"/>
  <c r="U143"/>
  <c r="U147"/>
  <c r="U155"/>
  <c r="U159"/>
  <c r="V122"/>
  <c r="V126"/>
  <c r="V130"/>
  <c r="U134"/>
  <c r="U138"/>
  <c r="U142"/>
  <c r="U146"/>
  <c r="U150"/>
  <c r="U154"/>
  <c r="U158"/>
  <c r="V124"/>
  <c r="V132"/>
  <c r="U136"/>
  <c r="U140"/>
  <c r="U144"/>
  <c r="U148"/>
  <c r="U152"/>
  <c r="U156"/>
  <c r="V123"/>
  <c r="V131"/>
  <c r="U139"/>
  <c r="U151"/>
  <c r="C171"/>
  <c r="V125"/>
  <c r="V129"/>
  <c r="V133"/>
  <c r="U141"/>
  <c r="U145"/>
  <c r="U149"/>
  <c r="U153"/>
  <c r="U157"/>
  <c r="V121"/>
  <c r="V135"/>
  <c r="V8"/>
  <c r="V12"/>
  <c r="V16"/>
  <c r="U20"/>
  <c r="U24"/>
  <c r="U28"/>
  <c r="U32"/>
  <c r="U36"/>
  <c r="V63"/>
  <c r="C113"/>
  <c r="V67"/>
  <c r="V71"/>
  <c r="V75"/>
  <c r="U79"/>
  <c r="U83"/>
  <c r="U95"/>
  <c r="U99"/>
  <c r="V9"/>
  <c r="V13"/>
  <c r="V17"/>
  <c r="U21"/>
  <c r="U25"/>
  <c r="U29"/>
  <c r="U33"/>
  <c r="U37"/>
  <c r="V64"/>
  <c r="V68"/>
  <c r="V72"/>
  <c r="U76"/>
  <c r="U80"/>
  <c r="U84"/>
  <c r="U96"/>
  <c r="U100"/>
  <c r="V6"/>
  <c r="V10"/>
  <c r="V14"/>
  <c r="U18"/>
  <c r="U22"/>
  <c r="U26"/>
  <c r="U34"/>
  <c r="V65"/>
  <c r="V69"/>
  <c r="V73"/>
  <c r="U81"/>
  <c r="U97"/>
  <c r="U101"/>
  <c r="V7"/>
  <c r="V11"/>
  <c r="V15"/>
  <c r="U23"/>
  <c r="U27"/>
  <c r="U31"/>
  <c r="U35"/>
  <c r="V66"/>
  <c r="V70"/>
  <c r="V74"/>
  <c r="U78"/>
  <c r="U82"/>
  <c r="U94"/>
  <c r="U98"/>
  <c r="U102"/>
  <c r="V77"/>
  <c r="V5"/>
  <c r="C55"/>
  <c r="V19"/>
  <c r="U126"/>
  <c r="U133"/>
  <c r="U70"/>
  <c r="U8"/>
  <c r="U63"/>
  <c r="U16"/>
  <c r="U71"/>
  <c r="U15"/>
  <c r="U69"/>
  <c r="U125"/>
  <c r="U7"/>
  <c r="U17"/>
  <c r="U132"/>
  <c r="U68"/>
  <c r="U14"/>
  <c r="U124"/>
  <c r="U77"/>
  <c r="U13"/>
  <c r="U6"/>
  <c r="U131"/>
  <c r="U5"/>
  <c r="U9"/>
  <c r="U123"/>
  <c r="U75"/>
  <c r="U130"/>
  <c r="U66"/>
  <c r="U11"/>
  <c r="U65"/>
  <c r="U73"/>
  <c r="U128"/>
  <c r="U10"/>
  <c r="U64"/>
  <c r="U72"/>
  <c r="U127"/>
  <c r="U135"/>
  <c r="U122"/>
  <c r="U12"/>
  <c r="U74"/>
  <c r="U121"/>
  <c r="U129"/>
  <c r="U67"/>
  <c r="U19"/>
  <c r="O5"/>
  <c r="H5"/>
  <c r="O7"/>
  <c r="H7"/>
  <c r="O9"/>
  <c r="H9"/>
  <c r="O11"/>
  <c r="H11"/>
  <c r="O13"/>
  <c r="H13"/>
  <c r="O15"/>
  <c r="H15"/>
  <c r="O17"/>
  <c r="H17"/>
  <c r="O19"/>
  <c r="H19"/>
  <c r="O21"/>
  <c r="H21"/>
  <c r="O23"/>
  <c r="H23"/>
  <c r="O25"/>
  <c r="H25"/>
  <c r="O27"/>
  <c r="H27"/>
  <c r="O29"/>
  <c r="H29"/>
  <c r="O31"/>
  <c r="H31"/>
  <c r="O33"/>
  <c r="H33"/>
  <c r="O35"/>
  <c r="H35"/>
  <c r="O37"/>
  <c r="H37"/>
  <c r="O39"/>
  <c r="H39"/>
  <c r="O41"/>
  <c r="H41"/>
  <c r="O43"/>
  <c r="H43"/>
  <c r="O46"/>
  <c r="H46"/>
  <c r="O48"/>
  <c r="H48"/>
  <c r="O50"/>
  <c r="H50"/>
  <c r="O52"/>
  <c r="H52"/>
  <c r="O54"/>
  <c r="H54"/>
  <c r="O64"/>
  <c r="H64"/>
  <c r="O66"/>
  <c r="H66"/>
  <c r="O68"/>
  <c r="H68"/>
  <c r="O70"/>
  <c r="H70"/>
  <c r="O72"/>
  <c r="H72"/>
  <c r="O74"/>
  <c r="H74"/>
  <c r="O76"/>
  <c r="H76"/>
  <c r="O78"/>
  <c r="H78"/>
  <c r="O80"/>
  <c r="H80"/>
  <c r="O82"/>
  <c r="H82"/>
  <c r="O84"/>
  <c r="H84"/>
  <c r="O86"/>
  <c r="H86"/>
  <c r="O88"/>
  <c r="H88"/>
  <c r="O90"/>
  <c r="H90"/>
  <c r="O92"/>
  <c r="H92"/>
  <c r="O94"/>
  <c r="H94"/>
  <c r="O96"/>
  <c r="H96"/>
  <c r="O98"/>
  <c r="H98"/>
  <c r="O100"/>
  <c r="H100"/>
  <c r="O102"/>
  <c r="H102"/>
  <c r="O103"/>
  <c r="H103"/>
  <c r="O105"/>
  <c r="H105"/>
  <c r="O107"/>
  <c r="H107"/>
  <c r="O109"/>
  <c r="H109"/>
  <c r="O111"/>
  <c r="H111"/>
  <c r="O121"/>
  <c r="H121"/>
  <c r="O123"/>
  <c r="H123"/>
  <c r="O125"/>
  <c r="H125"/>
  <c r="O127"/>
  <c r="H127"/>
  <c r="O129"/>
  <c r="H129"/>
  <c r="O131"/>
  <c r="H131"/>
  <c r="O133"/>
  <c r="H133"/>
  <c r="O135"/>
  <c r="H135"/>
  <c r="O137"/>
  <c r="H137"/>
  <c r="O139"/>
  <c r="H139"/>
  <c r="O141"/>
  <c r="H141"/>
  <c r="O143"/>
  <c r="H143"/>
  <c r="O145"/>
  <c r="H145"/>
  <c r="O147"/>
  <c r="H147"/>
  <c r="O149"/>
  <c r="H149"/>
  <c r="O151"/>
  <c r="H151"/>
  <c r="O152"/>
  <c r="H152"/>
  <c r="O154"/>
  <c r="H154"/>
  <c r="O156"/>
  <c r="H156"/>
  <c r="O158"/>
  <c r="H158"/>
  <c r="O160"/>
  <c r="H160"/>
  <c r="H161"/>
  <c r="O161"/>
  <c r="H163"/>
  <c r="O163"/>
  <c r="H165"/>
  <c r="O165"/>
  <c r="H167"/>
  <c r="O167"/>
  <c r="H169"/>
  <c r="O169"/>
  <c r="O6"/>
  <c r="H6"/>
  <c r="O8"/>
  <c r="H8"/>
  <c r="O10"/>
  <c r="H10"/>
  <c r="O12"/>
  <c r="H12"/>
  <c r="O14"/>
  <c r="H14"/>
  <c r="O16"/>
  <c r="H16"/>
  <c r="O18"/>
  <c r="H18"/>
  <c r="O20"/>
  <c r="H20"/>
  <c r="O22"/>
  <c r="H22"/>
  <c r="O24"/>
  <c r="H24"/>
  <c r="O26"/>
  <c r="H26"/>
  <c r="O28"/>
  <c r="H28"/>
  <c r="O30"/>
  <c r="H30"/>
  <c r="O32"/>
  <c r="H32"/>
  <c r="O34"/>
  <c r="H34"/>
  <c r="O36"/>
  <c r="H36"/>
  <c r="O38"/>
  <c r="H38"/>
  <c r="O40"/>
  <c r="H40"/>
  <c r="O42"/>
  <c r="H42"/>
  <c r="O44"/>
  <c r="H44"/>
  <c r="O45"/>
  <c r="H45"/>
  <c r="O47"/>
  <c r="H47"/>
  <c r="O49"/>
  <c r="H49"/>
  <c r="O51"/>
  <c r="H51"/>
  <c r="O53"/>
  <c r="H53"/>
  <c r="O63"/>
  <c r="H63"/>
  <c r="O65"/>
  <c r="H65"/>
  <c r="O67"/>
  <c r="H67"/>
  <c r="O69"/>
  <c r="H69"/>
  <c r="O71"/>
  <c r="H71"/>
  <c r="O73"/>
  <c r="H73"/>
  <c r="O75"/>
  <c r="H75"/>
  <c r="O77"/>
  <c r="H77"/>
  <c r="O79"/>
  <c r="H79"/>
  <c r="O81"/>
  <c r="H81"/>
  <c r="O83"/>
  <c r="H83"/>
  <c r="O85"/>
  <c r="H85"/>
  <c r="O87"/>
  <c r="H87"/>
  <c r="O89"/>
  <c r="H89"/>
  <c r="O91"/>
  <c r="H91"/>
  <c r="O93"/>
  <c r="H93"/>
  <c r="O95"/>
  <c r="H95"/>
  <c r="O97"/>
  <c r="H97"/>
  <c r="O99"/>
  <c r="H99"/>
  <c r="O101"/>
  <c r="H101"/>
  <c r="H104"/>
  <c r="O104"/>
  <c r="H106"/>
  <c r="O106"/>
  <c r="H108"/>
  <c r="O108"/>
  <c r="H110"/>
  <c r="O110"/>
  <c r="H112"/>
  <c r="O112"/>
  <c r="O122"/>
  <c r="H122"/>
  <c r="O124"/>
  <c r="H124"/>
  <c r="O126"/>
  <c r="H126"/>
  <c r="O128"/>
  <c r="H128"/>
  <c r="O130"/>
  <c r="H130"/>
  <c r="O132"/>
  <c r="H132"/>
  <c r="O134"/>
  <c r="H134"/>
  <c r="O136"/>
  <c r="H136"/>
  <c r="O138"/>
  <c r="H138"/>
  <c r="O140"/>
  <c r="H140"/>
  <c r="O142"/>
  <c r="H142"/>
  <c r="O144"/>
  <c r="H144"/>
  <c r="O146"/>
  <c r="H146"/>
  <c r="O148"/>
  <c r="H148"/>
  <c r="O150"/>
  <c r="H150"/>
  <c r="O153"/>
  <c r="H153"/>
  <c r="O155"/>
  <c r="H155"/>
  <c r="O157"/>
  <c r="H157"/>
  <c r="O159"/>
  <c r="H159"/>
  <c r="O162"/>
  <c r="H162"/>
  <c r="O164"/>
  <c r="H164"/>
  <c r="O166"/>
  <c r="H166"/>
  <c r="O168"/>
  <c r="H168"/>
  <c r="O170"/>
  <c r="H170"/>
  <c r="U30"/>
  <c r="U93"/>
  <c r="U38"/>
  <c r="U39"/>
  <c r="U40"/>
  <c r="U41"/>
  <c r="U42"/>
  <c r="U43"/>
  <c r="U44"/>
  <c r="U85"/>
  <c r="U86"/>
  <c r="U87"/>
  <c r="U88"/>
  <c r="U89"/>
  <c r="U90"/>
  <c r="U91"/>
  <c r="U92"/>
  <c r="U137"/>
  <c r="U163"/>
  <c r="U164"/>
  <c r="U165"/>
  <c r="U166"/>
  <c r="U167"/>
  <c r="U168"/>
  <c r="U169"/>
  <c r="U170"/>
  <c r="O173" l="1"/>
  <c r="H173"/>
  <c r="O115"/>
  <c r="O116" s="1"/>
  <c r="O57"/>
  <c r="O58" s="1"/>
  <c r="H115"/>
  <c r="H116" s="1"/>
  <c r="I104" s="1"/>
  <c r="O171"/>
  <c r="O172" s="1"/>
  <c r="H57"/>
  <c r="H58" s="1"/>
  <c r="I48" s="1"/>
  <c r="H171"/>
  <c r="H172" s="1"/>
  <c r="H113"/>
  <c r="H114" s="1"/>
  <c r="O113"/>
  <c r="O114" s="1"/>
  <c r="H55"/>
  <c r="H56" s="1"/>
  <c r="O55"/>
  <c r="O56" s="1"/>
  <c r="O174"/>
  <c r="P165" s="1"/>
  <c r="P127" l="1"/>
  <c r="P147"/>
  <c r="P126"/>
  <c r="P142"/>
  <c r="P158"/>
  <c r="P140"/>
  <c r="P156"/>
  <c r="P151"/>
  <c r="P133"/>
  <c r="P145"/>
  <c r="P137"/>
  <c r="P153"/>
  <c r="P160"/>
  <c r="P155"/>
  <c r="P130"/>
  <c r="P146"/>
  <c r="P124"/>
  <c r="P144"/>
  <c r="P123"/>
  <c r="P121"/>
  <c r="P149"/>
  <c r="P128"/>
  <c r="P135"/>
  <c r="P159"/>
  <c r="P134"/>
  <c r="P150"/>
  <c r="P132"/>
  <c r="P148"/>
  <c r="P131"/>
  <c r="P125"/>
  <c r="P143"/>
  <c r="P122"/>
  <c r="P138"/>
  <c r="P154"/>
  <c r="P136"/>
  <c r="P152"/>
  <c r="P139"/>
  <c r="P129"/>
  <c r="P141"/>
  <c r="P157"/>
  <c r="I155"/>
  <c r="I130"/>
  <c r="I146"/>
  <c r="I124"/>
  <c r="I144"/>
  <c r="I123"/>
  <c r="I121"/>
  <c r="I149"/>
  <c r="I160"/>
  <c r="I128"/>
  <c r="I135"/>
  <c r="I159"/>
  <c r="I134"/>
  <c r="I150"/>
  <c r="I132"/>
  <c r="I148"/>
  <c r="I131"/>
  <c r="I125"/>
  <c r="I137"/>
  <c r="I153"/>
  <c r="I143"/>
  <c r="I122"/>
  <c r="I138"/>
  <c r="I154"/>
  <c r="I136"/>
  <c r="I152"/>
  <c r="I139"/>
  <c r="I129"/>
  <c r="I141"/>
  <c r="I157"/>
  <c r="I127"/>
  <c r="I147"/>
  <c r="I126"/>
  <c r="I142"/>
  <c r="I158"/>
  <c r="I140"/>
  <c r="I156"/>
  <c r="I151"/>
  <c r="I133"/>
  <c r="I145"/>
  <c r="P8"/>
  <c r="P24"/>
  <c r="P21"/>
  <c r="P37"/>
  <c r="P6"/>
  <c r="P22"/>
  <c r="P34"/>
  <c r="P42"/>
  <c r="P15"/>
  <c r="P27"/>
  <c r="P39"/>
  <c r="P20"/>
  <c r="P36"/>
  <c r="P44"/>
  <c r="P17"/>
  <c r="P33"/>
  <c r="P18"/>
  <c r="P30"/>
  <c r="P11"/>
  <c r="P23"/>
  <c r="P16"/>
  <c r="P32"/>
  <c r="P13"/>
  <c r="P29"/>
  <c r="P41"/>
  <c r="P14"/>
  <c r="P38"/>
  <c r="P7"/>
  <c r="P19"/>
  <c r="P35"/>
  <c r="P43"/>
  <c r="P12"/>
  <c r="P28"/>
  <c r="P40"/>
  <c r="P5"/>
  <c r="P9"/>
  <c r="P25"/>
  <c r="P10"/>
  <c r="P26"/>
  <c r="P31"/>
  <c r="I63"/>
  <c r="I67"/>
  <c r="I83"/>
  <c r="I91"/>
  <c r="I68"/>
  <c r="I84"/>
  <c r="I92"/>
  <c r="I65"/>
  <c r="I77"/>
  <c r="I97"/>
  <c r="I70"/>
  <c r="I94"/>
  <c r="I79"/>
  <c r="I64"/>
  <c r="I80"/>
  <c r="I85"/>
  <c r="I93"/>
  <c r="I66"/>
  <c r="I82"/>
  <c r="I90"/>
  <c r="I75"/>
  <c r="I87"/>
  <c r="I99"/>
  <c r="I76"/>
  <c r="I88"/>
  <c r="I100"/>
  <c r="I69"/>
  <c r="I73"/>
  <c r="I78"/>
  <c r="I102"/>
  <c r="I71"/>
  <c r="I95"/>
  <c r="I72"/>
  <c r="I96"/>
  <c r="I81"/>
  <c r="I89"/>
  <c r="I101"/>
  <c r="I74"/>
  <c r="I86"/>
  <c r="I98"/>
  <c r="I20"/>
  <c r="I36"/>
  <c r="I44"/>
  <c r="I5"/>
  <c r="I17"/>
  <c r="I33"/>
  <c r="I10"/>
  <c r="I26"/>
  <c r="I11"/>
  <c r="I23"/>
  <c r="I16"/>
  <c r="I32"/>
  <c r="I13"/>
  <c r="I29"/>
  <c r="I41"/>
  <c r="I6"/>
  <c r="I22"/>
  <c r="I34"/>
  <c r="I42"/>
  <c r="I7"/>
  <c r="I19"/>
  <c r="I35"/>
  <c r="I43"/>
  <c r="I12"/>
  <c r="I28"/>
  <c r="I40"/>
  <c r="I9"/>
  <c r="I25"/>
  <c r="I18"/>
  <c r="I30"/>
  <c r="I31"/>
  <c r="I8"/>
  <c r="I24"/>
  <c r="I21"/>
  <c r="I37"/>
  <c r="I14"/>
  <c r="I38"/>
  <c r="I15"/>
  <c r="I27"/>
  <c r="I39"/>
  <c r="P79"/>
  <c r="P64"/>
  <c r="P80"/>
  <c r="P85"/>
  <c r="P93"/>
  <c r="P66"/>
  <c r="P82"/>
  <c r="P90"/>
  <c r="P75"/>
  <c r="P87"/>
  <c r="P99"/>
  <c r="P76"/>
  <c r="P88"/>
  <c r="P100"/>
  <c r="P73"/>
  <c r="P78"/>
  <c r="P102"/>
  <c r="P71"/>
  <c r="P95"/>
  <c r="P72"/>
  <c r="P96"/>
  <c r="P81"/>
  <c r="P89"/>
  <c r="P101"/>
  <c r="P74"/>
  <c r="P86"/>
  <c r="P98"/>
  <c r="P63"/>
  <c r="P67"/>
  <c r="P83"/>
  <c r="P91"/>
  <c r="P68"/>
  <c r="P84"/>
  <c r="P92"/>
  <c r="P65"/>
  <c r="P69"/>
  <c r="P77"/>
  <c r="P97"/>
  <c r="P70"/>
  <c r="P94"/>
  <c r="I46"/>
  <c r="I45"/>
  <c r="I50"/>
  <c r="I52"/>
  <c r="P169"/>
  <c r="P166"/>
  <c r="I105"/>
  <c r="I47"/>
  <c r="I107"/>
  <c r="I49"/>
  <c r="P162"/>
  <c r="P163"/>
  <c r="P168"/>
  <c r="I106"/>
  <c r="I54"/>
  <c r="P161"/>
  <c r="I108"/>
  <c r="P167"/>
  <c r="I51"/>
  <c r="I109"/>
  <c r="I53"/>
  <c r="I110"/>
  <c r="P170"/>
  <c r="I111"/>
  <c r="I103"/>
  <c r="P164"/>
  <c r="I112"/>
  <c r="P46"/>
  <c r="P48"/>
  <c r="P50"/>
  <c r="P52"/>
  <c r="P54"/>
  <c r="P45"/>
  <c r="P47"/>
  <c r="P49"/>
  <c r="P51"/>
  <c r="P53"/>
  <c r="P103"/>
  <c r="P104"/>
  <c r="P105"/>
  <c r="P106"/>
  <c r="P107"/>
  <c r="P108"/>
  <c r="P109"/>
  <c r="P110"/>
  <c r="P111"/>
  <c r="P112"/>
  <c r="R161" i="11" l="1"/>
  <c r="R162"/>
  <c r="R163"/>
  <c r="R164"/>
  <c r="R165"/>
  <c r="R166"/>
  <c r="R167"/>
  <c r="R168"/>
  <c r="R169"/>
  <c r="R170"/>
  <c r="K161"/>
  <c r="K162"/>
  <c r="K163"/>
  <c r="K164"/>
  <c r="K165"/>
  <c r="K166"/>
  <c r="K167"/>
  <c r="K168"/>
  <c r="K169"/>
  <c r="K170"/>
  <c r="R103"/>
  <c r="R104"/>
  <c r="R105"/>
  <c r="R106"/>
  <c r="R107"/>
  <c r="R108"/>
  <c r="R109"/>
  <c r="R110"/>
  <c r="R111"/>
  <c r="R112"/>
  <c r="K103"/>
  <c r="K104"/>
  <c r="K105"/>
  <c r="K106"/>
  <c r="K107"/>
  <c r="K108"/>
  <c r="K109"/>
  <c r="K110"/>
  <c r="K111"/>
  <c r="K112"/>
  <c r="O161"/>
  <c r="U163"/>
  <c r="O165"/>
  <c r="O167"/>
  <c r="U169"/>
  <c r="H103"/>
  <c r="O105"/>
  <c r="H107"/>
  <c r="U109"/>
  <c r="U111"/>
  <c r="A170"/>
  <c r="A169"/>
  <c r="A168"/>
  <c r="A167"/>
  <c r="A166"/>
  <c r="A165"/>
  <c r="A164"/>
  <c r="A163"/>
  <c r="A162"/>
  <c r="A161"/>
  <c r="A112"/>
  <c r="A111"/>
  <c r="A110"/>
  <c r="A109"/>
  <c r="A108"/>
  <c r="A107"/>
  <c r="A106"/>
  <c r="A105"/>
  <c r="A104"/>
  <c r="A103"/>
  <c r="V170"/>
  <c r="V169"/>
  <c r="V168"/>
  <c r="V167"/>
  <c r="V166"/>
  <c r="V165"/>
  <c r="V164"/>
  <c r="V163"/>
  <c r="V162"/>
  <c r="V161"/>
  <c r="V112"/>
  <c r="V111"/>
  <c r="V110"/>
  <c r="V109"/>
  <c r="V108"/>
  <c r="V107"/>
  <c r="V106"/>
  <c r="V105"/>
  <c r="V104"/>
  <c r="V103"/>
  <c r="V45"/>
  <c r="V46"/>
  <c r="V47"/>
  <c r="V48"/>
  <c r="V49"/>
  <c r="V50"/>
  <c r="V51"/>
  <c r="V52"/>
  <c r="V53"/>
  <c r="V54"/>
  <c r="H163"/>
  <c r="H169" l="1"/>
  <c r="O169"/>
  <c r="H161"/>
  <c r="U161"/>
  <c r="H109"/>
  <c r="O109"/>
  <c r="H105"/>
  <c r="U105"/>
  <c r="U165"/>
  <c r="H165"/>
  <c r="U103"/>
  <c r="H111"/>
  <c r="O111"/>
  <c r="O103"/>
  <c r="U167"/>
  <c r="U107"/>
  <c r="O107"/>
  <c r="H167"/>
  <c r="O163"/>
  <c r="H104"/>
  <c r="U170"/>
  <c r="U168"/>
  <c r="U166"/>
  <c r="U164"/>
  <c r="U162"/>
  <c r="H106"/>
  <c r="H108"/>
  <c r="H110"/>
  <c r="H112"/>
  <c r="O104"/>
  <c r="O106"/>
  <c r="O108"/>
  <c r="O110"/>
  <c r="O112"/>
  <c r="U104"/>
  <c r="U106"/>
  <c r="U108"/>
  <c r="U110"/>
  <c r="U112"/>
  <c r="H162"/>
  <c r="H164"/>
  <c r="H166"/>
  <c r="H168"/>
  <c r="H170"/>
  <c r="O162"/>
  <c r="O164"/>
  <c r="O166"/>
  <c r="O168"/>
  <c r="O170"/>
  <c r="R54"/>
  <c r="R53"/>
  <c r="R52"/>
  <c r="R51"/>
  <c r="R50"/>
  <c r="R49"/>
  <c r="R48"/>
  <c r="R47"/>
  <c r="R46"/>
  <c r="R45"/>
  <c r="K45"/>
  <c r="K46"/>
  <c r="K47"/>
  <c r="K48"/>
  <c r="K49"/>
  <c r="K50"/>
  <c r="K51"/>
  <c r="K52"/>
  <c r="K53"/>
  <c r="K54"/>
  <c r="A54"/>
  <c r="A53"/>
  <c r="A52"/>
  <c r="A51"/>
  <c r="A50"/>
  <c r="A49"/>
  <c r="A48"/>
  <c r="A47"/>
  <c r="A46"/>
  <c r="A45"/>
  <c r="I19" i="1"/>
  <c r="J19"/>
  <c r="K19"/>
  <c r="L19"/>
  <c r="M19"/>
  <c r="N19"/>
  <c r="I20"/>
  <c r="J20"/>
  <c r="K20"/>
  <c r="L20"/>
  <c r="M20"/>
  <c r="N20"/>
  <c r="I21"/>
  <c r="J21"/>
  <c r="K21"/>
  <c r="L21"/>
  <c r="M21"/>
  <c r="N21"/>
  <c r="V44" i="11"/>
  <c r="V43"/>
  <c r="V42"/>
  <c r="V41"/>
  <c r="V40"/>
  <c r="V39"/>
  <c r="V38"/>
  <c r="V36"/>
  <c r="V34"/>
  <c r="V32"/>
  <c r="I24" i="1"/>
  <c r="J24"/>
  <c r="K24"/>
  <c r="L24"/>
  <c r="M24"/>
  <c r="N24"/>
  <c r="I25"/>
  <c r="J25"/>
  <c r="K25"/>
  <c r="L25"/>
  <c r="M25"/>
  <c r="N25"/>
  <c r="I26"/>
  <c r="J26"/>
  <c r="K26"/>
  <c r="L26"/>
  <c r="M26"/>
  <c r="N26"/>
  <c r="I27"/>
  <c r="J27"/>
  <c r="K27"/>
  <c r="L27"/>
  <c r="M27"/>
  <c r="N27"/>
  <c r="I28"/>
  <c r="J28"/>
  <c r="K28"/>
  <c r="L28"/>
  <c r="M28"/>
  <c r="N28"/>
  <c r="AB33" i="5"/>
  <c r="AB32"/>
  <c r="AB31"/>
  <c r="AB30"/>
  <c r="AB29"/>
  <c r="AB28"/>
  <c r="AB27"/>
  <c r="AB22"/>
  <c r="AB21"/>
  <c r="AB20"/>
  <c r="AB19"/>
  <c r="AB18"/>
  <c r="AB17"/>
  <c r="AB16"/>
  <c r="Y33"/>
  <c r="Y32"/>
  <c r="Y31"/>
  <c r="Y30"/>
  <c r="Y29"/>
  <c r="Y28"/>
  <c r="Y27"/>
  <c r="Y22"/>
  <c r="Y21"/>
  <c r="Y20"/>
  <c r="Y19"/>
  <c r="Y18"/>
  <c r="Y17"/>
  <c r="Y16"/>
  <c r="Y11"/>
  <c r="Y10"/>
  <c r="Y9"/>
  <c r="Y8"/>
  <c r="Y7"/>
  <c r="Y6"/>
  <c r="Y5"/>
  <c r="O33"/>
  <c r="O32"/>
  <c r="O31"/>
  <c r="O30"/>
  <c r="O29"/>
  <c r="O28"/>
  <c r="O27"/>
  <c r="O22"/>
  <c r="O21"/>
  <c r="O20"/>
  <c r="O19"/>
  <c r="O18"/>
  <c r="O17"/>
  <c r="O16"/>
  <c r="O7"/>
  <c r="O11"/>
  <c r="O10"/>
  <c r="O9"/>
  <c r="O8"/>
  <c r="O6"/>
  <c r="O5"/>
  <c r="AB6"/>
  <c r="AB7"/>
  <c r="AB8"/>
  <c r="AB9"/>
  <c r="AB10"/>
  <c r="AB11"/>
  <c r="AB5"/>
  <c r="S33"/>
  <c r="S32"/>
  <c r="S31"/>
  <c r="S30"/>
  <c r="S29"/>
  <c r="S28"/>
  <c r="S27"/>
  <c r="S22"/>
  <c r="S21"/>
  <c r="S20"/>
  <c r="S19"/>
  <c r="S18"/>
  <c r="S17"/>
  <c r="S16"/>
  <c r="S11"/>
  <c r="S10"/>
  <c r="S9"/>
  <c r="S8"/>
  <c r="S7"/>
  <c r="S6"/>
  <c r="S5"/>
  <c r="I33"/>
  <c r="I32"/>
  <c r="I31"/>
  <c r="I30"/>
  <c r="I29"/>
  <c r="I28"/>
  <c r="I27"/>
  <c r="I22"/>
  <c r="I21"/>
  <c r="I20"/>
  <c r="I19"/>
  <c r="I18"/>
  <c r="I17"/>
  <c r="I16"/>
  <c r="U45" i="11" l="1"/>
  <c r="U47"/>
  <c r="U49"/>
  <c r="U50"/>
  <c r="U51"/>
  <c r="U52"/>
  <c r="U53"/>
  <c r="U46"/>
  <c r="U48"/>
  <c r="U54"/>
  <c r="H45"/>
  <c r="O45"/>
  <c r="O46"/>
  <c r="H46"/>
  <c r="H47"/>
  <c r="O47"/>
  <c r="O48"/>
  <c r="H48"/>
  <c r="H49"/>
  <c r="O49"/>
  <c r="O50"/>
  <c r="H50"/>
  <c r="H51"/>
  <c r="O51"/>
  <c r="O52"/>
  <c r="H52"/>
  <c r="H53"/>
  <c r="O53"/>
  <c r="O54"/>
  <c r="H54"/>
  <c r="R160" l="1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R102"/>
  <c r="R101"/>
  <c r="R100"/>
  <c r="R99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K31"/>
  <c r="K32"/>
  <c r="K33"/>
  <c r="K34"/>
  <c r="K35"/>
  <c r="K36"/>
  <c r="K37"/>
  <c r="K38"/>
  <c r="K39"/>
  <c r="K40"/>
  <c r="K41"/>
  <c r="K42"/>
  <c r="K43"/>
  <c r="K44"/>
  <c r="K30"/>
  <c r="K29"/>
  <c r="K28"/>
  <c r="K27"/>
  <c r="K26"/>
  <c r="K12"/>
  <c r="K13"/>
  <c r="K14"/>
  <c r="K15"/>
  <c r="K16"/>
  <c r="K17"/>
  <c r="K18"/>
  <c r="K19"/>
  <c r="K20"/>
  <c r="K21"/>
  <c r="K22"/>
  <c r="K23"/>
  <c r="K24"/>
  <c r="K25"/>
  <c r="K11"/>
  <c r="K10"/>
  <c r="K9"/>
  <c r="K8"/>
  <c r="K6"/>
  <c r="K7"/>
  <c r="K5"/>
  <c r="N7" i="12" l="1"/>
  <c r="N6"/>
  <c r="N5"/>
  <c r="H6"/>
  <c r="H7"/>
  <c r="H5"/>
  <c r="E44" i="14"/>
  <c r="G33" i="5" l="1"/>
  <c r="F33"/>
  <c r="E33"/>
  <c r="D33"/>
  <c r="C33"/>
  <c r="B33"/>
  <c r="G32"/>
  <c r="F32"/>
  <c r="E32"/>
  <c r="D32"/>
  <c r="C32"/>
  <c r="B32"/>
  <c r="G31"/>
  <c r="F31"/>
  <c r="E31"/>
  <c r="D31"/>
  <c r="C31"/>
  <c r="B31"/>
  <c r="G30"/>
  <c r="F30"/>
  <c r="E30"/>
  <c r="D30"/>
  <c r="C30"/>
  <c r="B30"/>
  <c r="G29"/>
  <c r="F29"/>
  <c r="E29"/>
  <c r="D29"/>
  <c r="C29"/>
  <c r="B29"/>
  <c r="G28"/>
  <c r="F28"/>
  <c r="E28"/>
  <c r="D28"/>
  <c r="C28"/>
  <c r="B28"/>
  <c r="G27"/>
  <c r="F27"/>
  <c r="E27"/>
  <c r="D27"/>
  <c r="C27"/>
  <c r="B27"/>
  <c r="G22"/>
  <c r="F22"/>
  <c r="E22"/>
  <c r="D22"/>
  <c r="C22"/>
  <c r="B22"/>
  <c r="G21"/>
  <c r="F21"/>
  <c r="E21"/>
  <c r="D21"/>
  <c r="C21"/>
  <c r="B21"/>
  <c r="G20"/>
  <c r="F20"/>
  <c r="E20"/>
  <c r="D20"/>
  <c r="C20"/>
  <c r="B20"/>
  <c r="G19"/>
  <c r="F19"/>
  <c r="E19"/>
  <c r="D19"/>
  <c r="C19"/>
  <c r="B19"/>
  <c r="G18"/>
  <c r="F18"/>
  <c r="E18"/>
  <c r="D18"/>
  <c r="C18"/>
  <c r="B18"/>
  <c r="G17"/>
  <c r="F17"/>
  <c r="E17"/>
  <c r="D17"/>
  <c r="C17"/>
  <c r="B17"/>
  <c r="G16"/>
  <c r="F16"/>
  <c r="E16"/>
  <c r="D16"/>
  <c r="C16"/>
  <c r="B16"/>
  <c r="G11"/>
  <c r="F11"/>
  <c r="E11"/>
  <c r="D11"/>
  <c r="C11"/>
  <c r="B11"/>
  <c r="G10"/>
  <c r="F10"/>
  <c r="E10"/>
  <c r="D10"/>
  <c r="C10"/>
  <c r="B10"/>
  <c r="G9"/>
  <c r="F9"/>
  <c r="E9"/>
  <c r="D9"/>
  <c r="C9"/>
  <c r="B9"/>
  <c r="G8"/>
  <c r="F8"/>
  <c r="E8"/>
  <c r="D8"/>
  <c r="C8"/>
  <c r="B8"/>
  <c r="G7"/>
  <c r="F7"/>
  <c r="E7"/>
  <c r="D7"/>
  <c r="C7"/>
  <c r="B7"/>
  <c r="G6"/>
  <c r="F6"/>
  <c r="E6"/>
  <c r="D6"/>
  <c r="C6"/>
  <c r="B6"/>
  <c r="G5"/>
  <c r="F5"/>
  <c r="E5"/>
  <c r="D5"/>
  <c r="C5"/>
  <c r="B5"/>
  <c r="I11"/>
  <c r="I10"/>
  <c r="I9"/>
  <c r="I8"/>
  <c r="I7"/>
  <c r="I6"/>
  <c r="I5"/>
  <c r="AH5" l="1"/>
  <c r="AF5"/>
  <c r="AH6"/>
  <c r="AF6"/>
  <c r="AF7"/>
  <c r="AH7"/>
  <c r="AH8"/>
  <c r="AF8"/>
  <c r="AH9"/>
  <c r="AF9"/>
  <c r="AH10"/>
  <c r="AF10"/>
  <c r="AF11"/>
  <c r="AH11"/>
  <c r="AH16"/>
  <c r="AF16"/>
  <c r="AH17"/>
  <c r="AF17"/>
  <c r="AH18"/>
  <c r="AF18"/>
  <c r="AH19"/>
  <c r="AF19"/>
  <c r="AH20"/>
  <c r="AF20"/>
  <c r="AH21"/>
  <c r="AF21"/>
  <c r="AH22"/>
  <c r="AF22"/>
  <c r="AH27"/>
  <c r="AF27"/>
  <c r="AH28"/>
  <c r="AF28"/>
  <c r="AH29"/>
  <c r="AF29"/>
  <c r="AH30"/>
  <c r="AF30"/>
  <c r="AH31"/>
  <c r="AF31"/>
  <c r="AH32"/>
  <c r="AF32"/>
  <c r="AH33"/>
  <c r="AF33"/>
  <c r="K5"/>
  <c r="M5" s="1"/>
  <c r="N5" s="1"/>
  <c r="U5"/>
  <c r="W5" s="1"/>
  <c r="AI5"/>
  <c r="AG5"/>
  <c r="K6"/>
  <c r="M6" s="1"/>
  <c r="U6"/>
  <c r="W6" s="1"/>
  <c r="AG6"/>
  <c r="AI6"/>
  <c r="K7"/>
  <c r="M7" s="1"/>
  <c r="N7" s="1"/>
  <c r="P7" s="1"/>
  <c r="U7"/>
  <c r="W7" s="1"/>
  <c r="AI7"/>
  <c r="AG7"/>
  <c r="K8"/>
  <c r="M8" s="1"/>
  <c r="N8" s="1"/>
  <c r="P8" s="1"/>
  <c r="U8"/>
  <c r="W8" s="1"/>
  <c r="AI8"/>
  <c r="AG8"/>
  <c r="K9"/>
  <c r="M9" s="1"/>
  <c r="N9" s="1"/>
  <c r="P9" s="1"/>
  <c r="U9"/>
  <c r="W9" s="1"/>
  <c r="AI9"/>
  <c r="AG9"/>
  <c r="K10"/>
  <c r="M10" s="1"/>
  <c r="N10" s="1"/>
  <c r="U10"/>
  <c r="W10" s="1"/>
  <c r="AG10"/>
  <c r="AI10"/>
  <c r="K11"/>
  <c r="M11" s="1"/>
  <c r="N11" s="1"/>
  <c r="P11" s="1"/>
  <c r="U11"/>
  <c r="W11" s="1"/>
  <c r="AI11"/>
  <c r="AG11"/>
  <c r="K16"/>
  <c r="M16" s="1"/>
  <c r="N16" s="1"/>
  <c r="U16"/>
  <c r="W16" s="1"/>
  <c r="AG16"/>
  <c r="AI16"/>
  <c r="K17"/>
  <c r="M17" s="1"/>
  <c r="N17" s="1"/>
  <c r="U17"/>
  <c r="W17" s="1"/>
  <c r="AG17"/>
  <c r="AI17"/>
  <c r="K18"/>
  <c r="M18" s="1"/>
  <c r="N18" s="1"/>
  <c r="U18"/>
  <c r="W18" s="1"/>
  <c r="AG18"/>
  <c r="AI18"/>
  <c r="K19"/>
  <c r="M19" s="1"/>
  <c r="N19" s="1"/>
  <c r="U19"/>
  <c r="W19" s="1"/>
  <c r="AG19"/>
  <c r="AI19"/>
  <c r="K20"/>
  <c r="M20" s="1"/>
  <c r="N20" s="1"/>
  <c r="U20"/>
  <c r="W20" s="1"/>
  <c r="AG20"/>
  <c r="AI20"/>
  <c r="K21"/>
  <c r="M21" s="1"/>
  <c r="N21" s="1"/>
  <c r="U21"/>
  <c r="W21" s="1"/>
  <c r="AG21"/>
  <c r="AI21"/>
  <c r="K22"/>
  <c r="M22" s="1"/>
  <c r="N22" s="1"/>
  <c r="U22"/>
  <c r="W22" s="1"/>
  <c r="AG22"/>
  <c r="AI22"/>
  <c r="K27"/>
  <c r="M27" s="1"/>
  <c r="N27" s="1"/>
  <c r="U27"/>
  <c r="W27" s="1"/>
  <c r="AG27"/>
  <c r="AI27"/>
  <c r="K28"/>
  <c r="M28" s="1"/>
  <c r="N28" s="1"/>
  <c r="U28"/>
  <c r="W28" s="1"/>
  <c r="AG28"/>
  <c r="AI28"/>
  <c r="K29"/>
  <c r="M29" s="1"/>
  <c r="N29" s="1"/>
  <c r="U29"/>
  <c r="W29" s="1"/>
  <c r="AG29"/>
  <c r="AI29"/>
  <c r="K30"/>
  <c r="M30" s="1"/>
  <c r="N30" s="1"/>
  <c r="U30"/>
  <c r="W30" s="1"/>
  <c r="AG30"/>
  <c r="AI30"/>
  <c r="K31"/>
  <c r="M31" s="1"/>
  <c r="N31" s="1"/>
  <c r="U31"/>
  <c r="W31" s="1"/>
  <c r="AG31"/>
  <c r="AI31"/>
  <c r="K32"/>
  <c r="M32" s="1"/>
  <c r="N32" s="1"/>
  <c r="U32"/>
  <c r="W32" s="1"/>
  <c r="AG32"/>
  <c r="AI32"/>
  <c r="K33"/>
  <c r="M33" s="1"/>
  <c r="N33" s="1"/>
  <c r="U33"/>
  <c r="W33" s="1"/>
  <c r="AG33"/>
  <c r="AI33"/>
  <c r="N6"/>
  <c r="P6" s="1"/>
  <c r="V153" i="11"/>
  <c r="V151"/>
  <c r="V149"/>
  <c r="V147"/>
  <c r="V146"/>
  <c r="V145"/>
  <c r="V144"/>
  <c r="V143"/>
  <c r="V142"/>
  <c r="V141"/>
  <c r="V140"/>
  <c r="V139"/>
  <c r="V138"/>
  <c r="V137"/>
  <c r="V136"/>
  <c r="V135"/>
  <c r="V134"/>
  <c r="V133"/>
  <c r="V132"/>
  <c r="V131"/>
  <c r="V130"/>
  <c r="V129"/>
  <c r="V128"/>
  <c r="V127"/>
  <c r="V126"/>
  <c r="V125"/>
  <c r="V124"/>
  <c r="V123"/>
  <c r="V122"/>
  <c r="V121"/>
  <c r="V95"/>
  <c r="V93"/>
  <c r="V91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Q41" i="3"/>
  <c r="K41"/>
  <c r="Q40"/>
  <c r="K40"/>
  <c r="Q39"/>
  <c r="K39"/>
  <c r="Q38"/>
  <c r="K38"/>
  <c r="Q37"/>
  <c r="K37"/>
  <c r="Q36"/>
  <c r="K36"/>
  <c r="Q35"/>
  <c r="K35"/>
  <c r="Q34"/>
  <c r="K34"/>
  <c r="Q33"/>
  <c r="K33"/>
  <c r="Q27"/>
  <c r="K27"/>
  <c r="Q26"/>
  <c r="K26"/>
  <c r="Q25"/>
  <c r="K25"/>
  <c r="Q24"/>
  <c r="K24"/>
  <c r="Q23"/>
  <c r="K23"/>
  <c r="Q22"/>
  <c r="K22"/>
  <c r="Q21"/>
  <c r="K21"/>
  <c r="Q20"/>
  <c r="K20"/>
  <c r="Q19"/>
  <c r="K19"/>
  <c r="Q13"/>
  <c r="K13"/>
  <c r="Q12"/>
  <c r="K12"/>
  <c r="Q11"/>
  <c r="K11"/>
  <c r="Q10"/>
  <c r="K10"/>
  <c r="Q9"/>
  <c r="K9"/>
  <c r="Q8"/>
  <c r="K8"/>
  <c r="Q7"/>
  <c r="K7"/>
  <c r="Q6"/>
  <c r="K6"/>
  <c r="Q5"/>
  <c r="K5"/>
  <c r="Q41" i="13"/>
  <c r="K41"/>
  <c r="Q40"/>
  <c r="K40"/>
  <c r="Q39"/>
  <c r="K39"/>
  <c r="Q38"/>
  <c r="K38"/>
  <c r="Q37"/>
  <c r="K37"/>
  <c r="Q36"/>
  <c r="K36"/>
  <c r="Q35"/>
  <c r="K35"/>
  <c r="Q34"/>
  <c r="K34"/>
  <c r="Q33"/>
  <c r="K33"/>
  <c r="Q27"/>
  <c r="K27"/>
  <c r="Q26"/>
  <c r="K26"/>
  <c r="Q25"/>
  <c r="K25"/>
  <c r="Q24"/>
  <c r="K24"/>
  <c r="Q23"/>
  <c r="K23"/>
  <c r="Q22"/>
  <c r="K22"/>
  <c r="Q21"/>
  <c r="K21"/>
  <c r="Q20"/>
  <c r="K20"/>
  <c r="Q19"/>
  <c r="K19"/>
  <c r="Q13"/>
  <c r="K13"/>
  <c r="Q12"/>
  <c r="K12"/>
  <c r="Q11"/>
  <c r="K11"/>
  <c r="Q10"/>
  <c r="K10"/>
  <c r="Q9"/>
  <c r="K9"/>
  <c r="Q8"/>
  <c r="K8"/>
  <c r="Q7"/>
  <c r="K7"/>
  <c r="Q6"/>
  <c r="K6"/>
  <c r="Q5"/>
  <c r="K5"/>
  <c r="P10" i="5" l="1"/>
  <c r="H64" i="11"/>
  <c r="O64"/>
  <c r="O66"/>
  <c r="H66"/>
  <c r="O68"/>
  <c r="H68"/>
  <c r="O70"/>
  <c r="H70"/>
  <c r="O72"/>
  <c r="H72"/>
  <c r="O74"/>
  <c r="H74"/>
  <c r="O76"/>
  <c r="H76"/>
  <c r="O78"/>
  <c r="H78"/>
  <c r="O80"/>
  <c r="H80"/>
  <c r="O82"/>
  <c r="H82"/>
  <c r="O84"/>
  <c r="H84"/>
  <c r="O86"/>
  <c r="H86"/>
  <c r="O88"/>
  <c r="H88"/>
  <c r="O90"/>
  <c r="H90"/>
  <c r="O92"/>
  <c r="H92"/>
  <c r="O94"/>
  <c r="H94"/>
  <c r="O96"/>
  <c r="H96"/>
  <c r="O98"/>
  <c r="H98"/>
  <c r="O100"/>
  <c r="H100"/>
  <c r="O102"/>
  <c r="H102"/>
  <c r="O122"/>
  <c r="H122"/>
  <c r="O124"/>
  <c r="H124"/>
  <c r="O126"/>
  <c r="H126"/>
  <c r="O128"/>
  <c r="H128"/>
  <c r="O130"/>
  <c r="H130"/>
  <c r="O132"/>
  <c r="H132"/>
  <c r="O134"/>
  <c r="H134"/>
  <c r="O136"/>
  <c r="H136"/>
  <c r="O138"/>
  <c r="H138"/>
  <c r="O140"/>
  <c r="H140"/>
  <c r="O142"/>
  <c r="H142"/>
  <c r="O144"/>
  <c r="H144"/>
  <c r="O146"/>
  <c r="H146"/>
  <c r="O148"/>
  <c r="H148"/>
  <c r="O150"/>
  <c r="H150"/>
  <c r="O152"/>
  <c r="H152"/>
  <c r="O154"/>
  <c r="H154"/>
  <c r="O156"/>
  <c r="H156"/>
  <c r="O158"/>
  <c r="H158"/>
  <c r="O160"/>
  <c r="H160"/>
  <c r="V5"/>
  <c r="O63"/>
  <c r="O115" s="1"/>
  <c r="H63"/>
  <c r="H115" s="1"/>
  <c r="O65"/>
  <c r="H65"/>
  <c r="O67"/>
  <c r="H67"/>
  <c r="O69"/>
  <c r="H69"/>
  <c r="O71"/>
  <c r="H71"/>
  <c r="O73"/>
  <c r="H73"/>
  <c r="O75"/>
  <c r="H75"/>
  <c r="O77"/>
  <c r="H77"/>
  <c r="O79"/>
  <c r="H79"/>
  <c r="O81"/>
  <c r="H81"/>
  <c r="O83"/>
  <c r="H83"/>
  <c r="O85"/>
  <c r="H85"/>
  <c r="O87"/>
  <c r="H87"/>
  <c r="O89"/>
  <c r="H89"/>
  <c r="O91"/>
  <c r="H91"/>
  <c r="O93"/>
  <c r="H93"/>
  <c r="O95"/>
  <c r="H95"/>
  <c r="O97"/>
  <c r="H97"/>
  <c r="O99"/>
  <c r="H99"/>
  <c r="O101"/>
  <c r="H101"/>
  <c r="H121"/>
  <c r="H173" s="1"/>
  <c r="H174" s="1"/>
  <c r="O121"/>
  <c r="O173" s="1"/>
  <c r="O174" s="1"/>
  <c r="H123"/>
  <c r="O123"/>
  <c r="H125"/>
  <c r="O125"/>
  <c r="H127"/>
  <c r="O127"/>
  <c r="H129"/>
  <c r="O129"/>
  <c r="H131"/>
  <c r="O131"/>
  <c r="H133"/>
  <c r="O133"/>
  <c r="H135"/>
  <c r="O135"/>
  <c r="H137"/>
  <c r="O137"/>
  <c r="H139"/>
  <c r="O139"/>
  <c r="H141"/>
  <c r="O141"/>
  <c r="H143"/>
  <c r="O143"/>
  <c r="H145"/>
  <c r="O145"/>
  <c r="H147"/>
  <c r="O147"/>
  <c r="H149"/>
  <c r="O149"/>
  <c r="H151"/>
  <c r="O151"/>
  <c r="H153"/>
  <c r="O153"/>
  <c r="H155"/>
  <c r="O155"/>
  <c r="H157"/>
  <c r="O157"/>
  <c r="H159"/>
  <c r="O159"/>
  <c r="V6"/>
  <c r="H6"/>
  <c r="O6"/>
  <c r="V8"/>
  <c r="H8"/>
  <c r="O8"/>
  <c r="V10"/>
  <c r="H10"/>
  <c r="O10"/>
  <c r="V12"/>
  <c r="H12"/>
  <c r="O12"/>
  <c r="V14"/>
  <c r="H14"/>
  <c r="O14"/>
  <c r="V16"/>
  <c r="H16"/>
  <c r="O16"/>
  <c r="V18"/>
  <c r="H18"/>
  <c r="O18"/>
  <c r="V20"/>
  <c r="H20"/>
  <c r="O20"/>
  <c r="V22"/>
  <c r="H22"/>
  <c r="O22"/>
  <c r="V24"/>
  <c r="O24"/>
  <c r="H24"/>
  <c r="V26"/>
  <c r="O26"/>
  <c r="H26"/>
  <c r="V28"/>
  <c r="O28"/>
  <c r="H28"/>
  <c r="V30"/>
  <c r="O30"/>
  <c r="H30"/>
  <c r="O32"/>
  <c r="H32"/>
  <c r="O34"/>
  <c r="H34"/>
  <c r="O36"/>
  <c r="H36"/>
  <c r="O38"/>
  <c r="H38"/>
  <c r="O40"/>
  <c r="H40"/>
  <c r="O42"/>
  <c r="H42"/>
  <c r="O44"/>
  <c r="H44"/>
  <c r="V7"/>
  <c r="O7"/>
  <c r="H7"/>
  <c r="V9"/>
  <c r="O9"/>
  <c r="H9"/>
  <c r="V11"/>
  <c r="O11"/>
  <c r="H11"/>
  <c r="V13"/>
  <c r="O13"/>
  <c r="H13"/>
  <c r="V15"/>
  <c r="O15"/>
  <c r="H15"/>
  <c r="V17"/>
  <c r="O17"/>
  <c r="H17"/>
  <c r="V19"/>
  <c r="O19"/>
  <c r="H19"/>
  <c r="V21"/>
  <c r="O21"/>
  <c r="H21"/>
  <c r="V23"/>
  <c r="H23"/>
  <c r="O23"/>
  <c r="V25"/>
  <c r="H25"/>
  <c r="O25"/>
  <c r="V27"/>
  <c r="H27"/>
  <c r="O27"/>
  <c r="V29"/>
  <c r="H29"/>
  <c r="O29"/>
  <c r="V31"/>
  <c r="H31"/>
  <c r="O31"/>
  <c r="V33"/>
  <c r="H33"/>
  <c r="O33"/>
  <c r="V35"/>
  <c r="H35"/>
  <c r="O35"/>
  <c r="V37"/>
  <c r="H37"/>
  <c r="O37"/>
  <c r="H39"/>
  <c r="O39"/>
  <c r="H41"/>
  <c r="O41"/>
  <c r="H43"/>
  <c r="O43"/>
  <c r="U6"/>
  <c r="U8"/>
  <c r="U10"/>
  <c r="U12"/>
  <c r="U14"/>
  <c r="U16"/>
  <c r="U18"/>
  <c r="U20"/>
  <c r="U22"/>
  <c r="U24"/>
  <c r="U26"/>
  <c r="U28"/>
  <c r="U30"/>
  <c r="U32"/>
  <c r="U34"/>
  <c r="U36"/>
  <c r="U38"/>
  <c r="U40"/>
  <c r="U42"/>
  <c r="U44"/>
  <c r="U64"/>
  <c r="U66"/>
  <c r="U68"/>
  <c r="U70"/>
  <c r="U72"/>
  <c r="U74"/>
  <c r="U76"/>
  <c r="U78"/>
  <c r="U80"/>
  <c r="U82"/>
  <c r="U84"/>
  <c r="U86"/>
  <c r="U88"/>
  <c r="U90"/>
  <c r="U92"/>
  <c r="U94"/>
  <c r="U96"/>
  <c r="U98"/>
  <c r="U100"/>
  <c r="U102"/>
  <c r="U122"/>
  <c r="U124"/>
  <c r="U126"/>
  <c r="U128"/>
  <c r="U130"/>
  <c r="U132"/>
  <c r="U134"/>
  <c r="U136"/>
  <c r="U138"/>
  <c r="U140"/>
  <c r="U142"/>
  <c r="U144"/>
  <c r="U146"/>
  <c r="U148"/>
  <c r="U150"/>
  <c r="U152"/>
  <c r="U154"/>
  <c r="U156"/>
  <c r="U158"/>
  <c r="U160"/>
  <c r="U5"/>
  <c r="O5"/>
  <c r="O57" s="1"/>
  <c r="O58" s="1"/>
  <c r="H5"/>
  <c r="H57" s="1"/>
  <c r="H58" s="1"/>
  <c r="U7"/>
  <c r="U9"/>
  <c r="U11"/>
  <c r="U13"/>
  <c r="U15"/>
  <c r="U17"/>
  <c r="U19"/>
  <c r="U21"/>
  <c r="U23"/>
  <c r="U25"/>
  <c r="U27"/>
  <c r="U29"/>
  <c r="U31"/>
  <c r="U33"/>
  <c r="U35"/>
  <c r="U37"/>
  <c r="U39"/>
  <c r="U41"/>
  <c r="U43"/>
  <c r="U63"/>
  <c r="U65"/>
  <c r="U67"/>
  <c r="U69"/>
  <c r="U71"/>
  <c r="U73"/>
  <c r="U75"/>
  <c r="U77"/>
  <c r="U79"/>
  <c r="U81"/>
  <c r="U83"/>
  <c r="U85"/>
  <c r="U87"/>
  <c r="U89"/>
  <c r="U91"/>
  <c r="U93"/>
  <c r="U95"/>
  <c r="U97"/>
  <c r="U99"/>
  <c r="U101"/>
  <c r="U121"/>
  <c r="U123"/>
  <c r="U125"/>
  <c r="U127"/>
  <c r="U129"/>
  <c r="U131"/>
  <c r="U133"/>
  <c r="U135"/>
  <c r="U137"/>
  <c r="U139"/>
  <c r="U141"/>
  <c r="U143"/>
  <c r="U145"/>
  <c r="U147"/>
  <c r="U149"/>
  <c r="U151"/>
  <c r="U153"/>
  <c r="U155"/>
  <c r="U157"/>
  <c r="U159"/>
  <c r="X33" i="5"/>
  <c r="Z33" s="1"/>
  <c r="X32"/>
  <c r="Z32" s="1"/>
  <c r="X31"/>
  <c r="Z31" s="1"/>
  <c r="X30"/>
  <c r="Z30" s="1"/>
  <c r="X29"/>
  <c r="Z29" s="1"/>
  <c r="X28"/>
  <c r="Z28" s="1"/>
  <c r="X27"/>
  <c r="Z27" s="1"/>
  <c r="X22"/>
  <c r="Z22" s="1"/>
  <c r="X21"/>
  <c r="Z21" s="1"/>
  <c r="X20"/>
  <c r="Z20" s="1"/>
  <c r="X19"/>
  <c r="Z19" s="1"/>
  <c r="X18"/>
  <c r="Z18" s="1"/>
  <c r="X17"/>
  <c r="Z17" s="1"/>
  <c r="X16"/>
  <c r="Z16" s="1"/>
  <c r="X11"/>
  <c r="Z11" s="1"/>
  <c r="X10"/>
  <c r="Z10" s="1"/>
  <c r="X9"/>
  <c r="Z9" s="1"/>
  <c r="X8"/>
  <c r="Z8" s="1"/>
  <c r="X7"/>
  <c r="Z7" s="1"/>
  <c r="X6"/>
  <c r="Z6" s="1"/>
  <c r="X5"/>
  <c r="Z5" s="1"/>
  <c r="P32"/>
  <c r="P30"/>
  <c r="P27"/>
  <c r="P19"/>
  <c r="P29"/>
  <c r="P20"/>
  <c r="P16"/>
  <c r="P5"/>
  <c r="P33"/>
  <c r="P31"/>
  <c r="P28"/>
  <c r="P21"/>
  <c r="P17"/>
  <c r="P22"/>
  <c r="P18"/>
  <c r="I168" i="11" l="1"/>
  <c r="I162"/>
  <c r="I170"/>
  <c r="I161"/>
  <c r="I165"/>
  <c r="I163"/>
  <c r="I167"/>
  <c r="I164"/>
  <c r="I169"/>
  <c r="I166"/>
  <c r="P161"/>
  <c r="P168"/>
  <c r="P169"/>
  <c r="P163"/>
  <c r="P162"/>
  <c r="P170"/>
  <c r="P165"/>
  <c r="P167"/>
  <c r="P166"/>
  <c r="P164"/>
  <c r="P48"/>
  <c r="P54"/>
  <c r="P52"/>
  <c r="P45"/>
  <c r="P47"/>
  <c r="P49"/>
  <c r="P46"/>
  <c r="P51"/>
  <c r="P53"/>
  <c r="P50"/>
  <c r="H171"/>
  <c r="H172" s="1"/>
  <c r="O171"/>
  <c r="O172" s="1"/>
  <c r="H113"/>
  <c r="H114" s="1"/>
  <c r="O113"/>
  <c r="O114" s="1"/>
  <c r="H55"/>
  <c r="H56" s="1"/>
  <c r="I15" s="1"/>
  <c r="O55"/>
  <c r="O56" s="1"/>
  <c r="O116"/>
  <c r="I29" l="1"/>
  <c r="I38"/>
  <c r="I37"/>
  <c r="I33"/>
  <c r="I34"/>
  <c r="I43"/>
  <c r="I23"/>
  <c r="I144"/>
  <c r="I147"/>
  <c r="I146"/>
  <c r="I130"/>
  <c r="I137"/>
  <c r="I152"/>
  <c r="I150"/>
  <c r="I132"/>
  <c r="I141"/>
  <c r="I138"/>
  <c r="I151"/>
  <c r="I145"/>
  <c r="I136"/>
  <c r="I135"/>
  <c r="I158"/>
  <c r="I142"/>
  <c r="I126"/>
  <c r="I159"/>
  <c r="I131"/>
  <c r="I148"/>
  <c r="I124"/>
  <c r="I149"/>
  <c r="I133"/>
  <c r="I139"/>
  <c r="I156"/>
  <c r="I128"/>
  <c r="I153"/>
  <c r="I155"/>
  <c r="I160"/>
  <c r="I134"/>
  <c r="I143"/>
  <c r="I157"/>
  <c r="I125"/>
  <c r="I127"/>
  <c r="I154"/>
  <c r="I122"/>
  <c r="I123"/>
  <c r="I140"/>
  <c r="I121"/>
  <c r="I129"/>
  <c r="P143"/>
  <c r="P124"/>
  <c r="P154"/>
  <c r="P138"/>
  <c r="P122"/>
  <c r="P147"/>
  <c r="P148"/>
  <c r="P129"/>
  <c r="P158"/>
  <c r="P126"/>
  <c r="P155"/>
  <c r="P136"/>
  <c r="P149"/>
  <c r="P130"/>
  <c r="P131"/>
  <c r="P140"/>
  <c r="P153"/>
  <c r="P135"/>
  <c r="P127"/>
  <c r="P150"/>
  <c r="P134"/>
  <c r="P139"/>
  <c r="P144"/>
  <c r="P128"/>
  <c r="P157"/>
  <c r="P141"/>
  <c r="P125"/>
  <c r="P132"/>
  <c r="P121"/>
  <c r="P145"/>
  <c r="P151"/>
  <c r="P142"/>
  <c r="P123"/>
  <c r="P152"/>
  <c r="P133"/>
  <c r="P159"/>
  <c r="P160"/>
  <c r="P146"/>
  <c r="P156"/>
  <c r="P137"/>
  <c r="I13"/>
  <c r="I26"/>
  <c r="I40"/>
  <c r="I21"/>
  <c r="I30"/>
  <c r="I25"/>
  <c r="I27"/>
  <c r="I7"/>
  <c r="I20"/>
  <c r="I18"/>
  <c r="I24"/>
  <c r="I28"/>
  <c r="I22"/>
  <c r="I9"/>
  <c r="I35"/>
  <c r="I11"/>
  <c r="I5"/>
  <c r="I8"/>
  <c r="I12"/>
  <c r="I6"/>
  <c r="I32"/>
  <c r="I39"/>
  <c r="I19"/>
  <c r="P94"/>
  <c r="P78"/>
  <c r="P101"/>
  <c r="P93"/>
  <c r="P85"/>
  <c r="P77"/>
  <c r="P69"/>
  <c r="P100"/>
  <c r="P84"/>
  <c r="P68"/>
  <c r="P95"/>
  <c r="P79"/>
  <c r="P90"/>
  <c r="P74"/>
  <c r="P96"/>
  <c r="P80"/>
  <c r="P64"/>
  <c r="P91"/>
  <c r="P75"/>
  <c r="P102"/>
  <c r="P86"/>
  <c r="P70"/>
  <c r="P97"/>
  <c r="P89"/>
  <c r="P81"/>
  <c r="P73"/>
  <c r="P65"/>
  <c r="P92"/>
  <c r="P76"/>
  <c r="P63"/>
  <c r="P87"/>
  <c r="P71"/>
  <c r="P98"/>
  <c r="P82"/>
  <c r="P66"/>
  <c r="P88"/>
  <c r="P72"/>
  <c r="P99"/>
  <c r="P83"/>
  <c r="P67"/>
  <c r="I88"/>
  <c r="I72"/>
  <c r="I99"/>
  <c r="I83"/>
  <c r="I67"/>
  <c r="I90"/>
  <c r="I74"/>
  <c r="I101"/>
  <c r="I93"/>
  <c r="I85"/>
  <c r="I77"/>
  <c r="I69"/>
  <c r="I100"/>
  <c r="I84"/>
  <c r="I68"/>
  <c r="I95"/>
  <c r="I79"/>
  <c r="I102"/>
  <c r="I86"/>
  <c r="I70"/>
  <c r="I96"/>
  <c r="I80"/>
  <c r="I64"/>
  <c r="I91"/>
  <c r="I75"/>
  <c r="I98"/>
  <c r="I82"/>
  <c r="I66"/>
  <c r="I97"/>
  <c r="I89"/>
  <c r="I81"/>
  <c r="I73"/>
  <c r="I65"/>
  <c r="I92"/>
  <c r="I76"/>
  <c r="I63"/>
  <c r="I87"/>
  <c r="I71"/>
  <c r="I94"/>
  <c r="I78"/>
  <c r="I36"/>
  <c r="I10"/>
  <c r="I42"/>
  <c r="I17"/>
  <c r="I44"/>
  <c r="I14"/>
  <c r="I16"/>
  <c r="I41"/>
  <c r="I31"/>
  <c r="P7"/>
  <c r="P11"/>
  <c r="P15"/>
  <c r="P19"/>
  <c r="P23"/>
  <c r="P27"/>
  <c r="P31"/>
  <c r="P35"/>
  <c r="P39"/>
  <c r="P43"/>
  <c r="P38"/>
  <c r="P30"/>
  <c r="P22"/>
  <c r="P14"/>
  <c r="P6"/>
  <c r="P41"/>
  <c r="P25"/>
  <c r="P9"/>
  <c r="P32"/>
  <c r="P16"/>
  <c r="P37"/>
  <c r="P21"/>
  <c r="P44"/>
  <c r="P28"/>
  <c r="P12"/>
  <c r="P42"/>
  <c r="P34"/>
  <c r="P26"/>
  <c r="P18"/>
  <c r="P10"/>
  <c r="P33"/>
  <c r="P17"/>
  <c r="P40"/>
  <c r="P24"/>
  <c r="P8"/>
  <c r="P5"/>
  <c r="P29"/>
  <c r="P13"/>
  <c r="P36"/>
  <c r="P20"/>
  <c r="P112"/>
  <c r="P110"/>
  <c r="P108"/>
  <c r="P106"/>
  <c r="P104"/>
  <c r="P111"/>
  <c r="P109"/>
  <c r="P107"/>
  <c r="P105"/>
  <c r="P103"/>
  <c r="H116"/>
  <c r="I107" s="1"/>
  <c r="G41" i="10"/>
  <c r="F41"/>
  <c r="G40"/>
  <c r="F40"/>
  <c r="G39"/>
  <c r="F39"/>
  <c r="G38"/>
  <c r="F38"/>
  <c r="G37"/>
  <c r="F37"/>
  <c r="G36"/>
  <c r="F36"/>
  <c r="G35"/>
  <c r="F35"/>
  <c r="G34"/>
  <c r="F34"/>
  <c r="G33"/>
  <c r="F33"/>
  <c r="G32"/>
  <c r="F32"/>
  <c r="G28"/>
  <c r="F28"/>
  <c r="G27"/>
  <c r="F27"/>
  <c r="G26"/>
  <c r="F26"/>
  <c r="G25"/>
  <c r="F25"/>
  <c r="G24"/>
  <c r="F24"/>
  <c r="G23"/>
  <c r="F23"/>
  <c r="G22"/>
  <c r="F22"/>
  <c r="G21"/>
  <c r="F21"/>
  <c r="G20"/>
  <c r="F20"/>
  <c r="G19"/>
  <c r="F19"/>
  <c r="G7"/>
  <c r="G8"/>
  <c r="G9"/>
  <c r="G10"/>
  <c r="G11"/>
  <c r="G12"/>
  <c r="G13"/>
  <c r="G14"/>
  <c r="G15"/>
  <c r="G6"/>
  <c r="F7"/>
  <c r="F8"/>
  <c r="F9"/>
  <c r="F10"/>
  <c r="F11"/>
  <c r="F12"/>
  <c r="F13"/>
  <c r="F14"/>
  <c r="F15"/>
  <c r="F6"/>
  <c r="N23" i="1"/>
  <c r="M23"/>
  <c r="L23"/>
  <c r="K23"/>
  <c r="J23"/>
  <c r="I23"/>
  <c r="N22"/>
  <c r="M22"/>
  <c r="L22"/>
  <c r="K22"/>
  <c r="J22"/>
  <c r="I22"/>
  <c r="I110" i="11" l="1"/>
  <c r="I108"/>
  <c r="I103"/>
  <c r="I111"/>
  <c r="F30" i="10"/>
  <c r="D7" i="12" s="1"/>
  <c r="F17" i="10"/>
  <c r="D6" i="12" s="1"/>
  <c r="G30" i="10"/>
  <c r="E7" i="12" s="1"/>
  <c r="G17" i="10"/>
  <c r="E6" i="12" s="1"/>
  <c r="I106" i="11"/>
  <c r="I112"/>
  <c r="I104"/>
  <c r="I109"/>
  <c r="I105"/>
  <c r="I17" i="1"/>
  <c r="C6" i="2" s="1"/>
  <c r="K17" i="1"/>
  <c r="C20" i="2" s="1"/>
  <c r="L17" i="1"/>
  <c r="D6" i="2" s="1"/>
  <c r="N17" i="1"/>
  <c r="D20" i="2" s="1"/>
  <c r="J17" i="1"/>
  <c r="C13" i="2" s="1"/>
  <c r="M17" i="1"/>
  <c r="D13" i="2" s="1"/>
  <c r="N7" i="1"/>
  <c r="N8"/>
  <c r="N9"/>
  <c r="N10"/>
  <c r="N11"/>
  <c r="N12"/>
  <c r="N13"/>
  <c r="N14"/>
  <c r="N15"/>
  <c r="N6"/>
  <c r="M7"/>
  <c r="M8"/>
  <c r="M9"/>
  <c r="M10"/>
  <c r="M11"/>
  <c r="M12"/>
  <c r="M13"/>
  <c r="M14"/>
  <c r="M15"/>
  <c r="M6"/>
  <c r="L7"/>
  <c r="L8"/>
  <c r="L9"/>
  <c r="L10"/>
  <c r="L11"/>
  <c r="L12"/>
  <c r="L13"/>
  <c r="L14"/>
  <c r="L15"/>
  <c r="L6"/>
  <c r="J12"/>
  <c r="I7"/>
  <c r="K7"/>
  <c r="K8"/>
  <c r="K9"/>
  <c r="K10"/>
  <c r="K11"/>
  <c r="K12"/>
  <c r="K13"/>
  <c r="K14"/>
  <c r="K15"/>
  <c r="K6"/>
  <c r="J7"/>
  <c r="J8"/>
  <c r="J9"/>
  <c r="J10"/>
  <c r="J11"/>
  <c r="J13"/>
  <c r="J14"/>
  <c r="J15"/>
  <c r="J6"/>
  <c r="I8"/>
  <c r="I9"/>
  <c r="I10"/>
  <c r="I11"/>
  <c r="I12"/>
  <c r="I13"/>
  <c r="I14"/>
  <c r="I15"/>
  <c r="I6"/>
  <c r="I4" l="1"/>
  <c r="K4"/>
  <c r="L4"/>
  <c r="M4"/>
  <c r="N4"/>
  <c r="J4"/>
  <c r="W6" i="12"/>
  <c r="Y6"/>
  <c r="X6"/>
  <c r="V6"/>
  <c r="W7"/>
  <c r="Y7"/>
  <c r="X7"/>
  <c r="V7"/>
  <c r="L108" i="8"/>
  <c r="K108"/>
  <c r="J108"/>
  <c r="I108"/>
  <c r="H108"/>
  <c r="G108"/>
  <c r="L95"/>
  <c r="K95"/>
  <c r="J95"/>
  <c r="I95"/>
  <c r="H95"/>
  <c r="G95"/>
  <c r="L82"/>
  <c r="K82"/>
  <c r="J82"/>
  <c r="I82"/>
  <c r="H82"/>
  <c r="G82"/>
  <c r="L69"/>
  <c r="K69"/>
  <c r="J69"/>
  <c r="I69"/>
  <c r="H69"/>
  <c r="G69"/>
  <c r="L56"/>
  <c r="K56"/>
  <c r="J56"/>
  <c r="I56"/>
  <c r="H56"/>
  <c r="G56"/>
  <c r="L43"/>
  <c r="K43"/>
  <c r="J43"/>
  <c r="I43"/>
  <c r="H43"/>
  <c r="G43"/>
  <c r="L30"/>
  <c r="K30"/>
  <c r="J30"/>
  <c r="I30"/>
  <c r="H30"/>
  <c r="G30"/>
  <c r="L17"/>
  <c r="K17"/>
  <c r="J17"/>
  <c r="I17"/>
  <c r="H17"/>
  <c r="G17"/>
  <c r="L4"/>
  <c r="K4"/>
  <c r="J4"/>
  <c r="I4"/>
  <c r="H4"/>
  <c r="G4"/>
  <c r="F33" i="16" l="1"/>
  <c r="G33" s="1"/>
  <c r="L33" s="1"/>
  <c r="M103"/>
  <c r="N103" s="1"/>
  <c r="S103" s="1"/>
  <c r="F47"/>
  <c r="G47" s="1"/>
  <c r="L47" s="1"/>
  <c r="F164"/>
  <c r="G164" s="1"/>
  <c r="M111"/>
  <c r="N111" s="1"/>
  <c r="S111" s="1"/>
  <c r="F17"/>
  <c r="G17" s="1"/>
  <c r="L17" s="1"/>
  <c r="M161"/>
  <c r="N161" s="1"/>
  <c r="S161" s="1"/>
  <c r="F46"/>
  <c r="G46" s="1"/>
  <c r="L46" s="1"/>
  <c r="F163"/>
  <c r="G163" s="1"/>
  <c r="M106"/>
  <c r="N106" s="1"/>
  <c r="S106" s="1"/>
  <c r="F50"/>
  <c r="G50" s="1"/>
  <c r="L50" s="1"/>
  <c r="F167"/>
  <c r="G167" s="1"/>
  <c r="M110"/>
  <c r="N110" s="1"/>
  <c r="S110" s="1"/>
  <c r="F54"/>
  <c r="G54" s="1"/>
  <c r="L54" s="1"/>
  <c r="F103"/>
  <c r="G103" s="1"/>
  <c r="L103" s="1"/>
  <c r="F123"/>
  <c r="G123" s="1"/>
  <c r="L123" s="1"/>
  <c r="F139"/>
  <c r="G139" s="1"/>
  <c r="L139" s="1"/>
  <c r="F147"/>
  <c r="G147" s="1"/>
  <c r="L147" s="1"/>
  <c r="F131"/>
  <c r="G131" s="1"/>
  <c r="L131" s="1"/>
  <c r="F9"/>
  <c r="G9" s="1"/>
  <c r="L9" s="1"/>
  <c r="F25"/>
  <c r="G25" s="1"/>
  <c r="L25" s="1"/>
  <c r="F13"/>
  <c r="G13" s="1"/>
  <c r="L13" s="1"/>
  <c r="F29"/>
  <c r="G29" s="1"/>
  <c r="L29" s="1"/>
  <c r="F127"/>
  <c r="G127" s="1"/>
  <c r="L127" s="1"/>
  <c r="F143"/>
  <c r="G143" s="1"/>
  <c r="L143" s="1"/>
  <c r="F21"/>
  <c r="G21" s="1"/>
  <c r="L21" s="1"/>
  <c r="F37"/>
  <c r="G37" s="1"/>
  <c r="L37" s="1"/>
  <c r="F161"/>
  <c r="G161" s="1"/>
  <c r="M104"/>
  <c r="N104" s="1"/>
  <c r="S104" s="1"/>
  <c r="F48"/>
  <c r="G48" s="1"/>
  <c r="L48" s="1"/>
  <c r="F165"/>
  <c r="G165" s="1"/>
  <c r="M108"/>
  <c r="N108" s="1"/>
  <c r="S108" s="1"/>
  <c r="F52"/>
  <c r="G52" s="1"/>
  <c r="L52" s="1"/>
  <c r="F169"/>
  <c r="G169" s="1"/>
  <c r="M112"/>
  <c r="N112" s="1"/>
  <c r="S112" s="1"/>
  <c r="M45"/>
  <c r="N45" s="1"/>
  <c r="S45" s="1"/>
  <c r="F135"/>
  <c r="G135" s="1"/>
  <c r="L135" s="1"/>
  <c r="F151"/>
  <c r="G151" s="1"/>
  <c r="L151" s="1"/>
  <c r="F45"/>
  <c r="G45" s="1"/>
  <c r="L45" s="1"/>
  <c r="F162"/>
  <c r="G162" s="1"/>
  <c r="M105"/>
  <c r="N105" s="1"/>
  <c r="S105" s="1"/>
  <c r="F49"/>
  <c r="G49" s="1"/>
  <c r="L49" s="1"/>
  <c r="F166"/>
  <c r="G166" s="1"/>
  <c r="M109"/>
  <c r="N109" s="1"/>
  <c r="S109" s="1"/>
  <c r="F53"/>
  <c r="G53" s="1"/>
  <c r="L53" s="1"/>
  <c r="F170"/>
  <c r="G170" s="1"/>
  <c r="F121"/>
  <c r="G121" s="1"/>
  <c r="L121" s="1"/>
  <c r="CA5" i="6"/>
  <c r="F125" i="16"/>
  <c r="G125" s="1"/>
  <c r="L125" s="1"/>
  <c r="CA9" i="6"/>
  <c r="E9" i="16" s="1"/>
  <c r="F129"/>
  <c r="G129" s="1"/>
  <c r="L129" s="1"/>
  <c r="CA13" i="6"/>
  <c r="E13" i="16" s="1"/>
  <c r="F133"/>
  <c r="G133" s="1"/>
  <c r="L133" s="1"/>
  <c r="F137"/>
  <c r="G137" s="1"/>
  <c r="L137" s="1"/>
  <c r="F141"/>
  <c r="G141" s="1"/>
  <c r="L141" s="1"/>
  <c r="F145"/>
  <c r="G145" s="1"/>
  <c r="L145" s="1"/>
  <c r="F149"/>
  <c r="G149" s="1"/>
  <c r="L149" s="1"/>
  <c r="F34"/>
  <c r="G34" s="1"/>
  <c r="L34" s="1"/>
  <c r="F38"/>
  <c r="G38" s="1"/>
  <c r="L38" s="1"/>
  <c r="Y63" i="11"/>
  <c r="W6"/>
  <c r="Y122"/>
  <c r="W64"/>
  <c r="X64"/>
  <c r="X6"/>
  <c r="X122"/>
  <c r="W7"/>
  <c r="W123"/>
  <c r="W65"/>
  <c r="X65"/>
  <c r="X7"/>
  <c r="X123"/>
  <c r="W8"/>
  <c r="W124"/>
  <c r="Y66"/>
  <c r="X66"/>
  <c r="X8"/>
  <c r="X124"/>
  <c r="Y9"/>
  <c r="Y125"/>
  <c r="W67"/>
  <c r="X67"/>
  <c r="X9"/>
  <c r="X125"/>
  <c r="Y10"/>
  <c r="Y126"/>
  <c r="W68"/>
  <c r="X68"/>
  <c r="X10"/>
  <c r="X126"/>
  <c r="W11"/>
  <c r="W127"/>
  <c r="Y69"/>
  <c r="X69"/>
  <c r="Z127"/>
  <c r="Y12"/>
  <c r="W128"/>
  <c r="W70"/>
  <c r="Z70"/>
  <c r="Z12"/>
  <c r="X128"/>
  <c r="Y13"/>
  <c r="Y129"/>
  <c r="Y71"/>
  <c r="Z71"/>
  <c r="Z13"/>
  <c r="Z129"/>
  <c r="Y14"/>
  <c r="W130"/>
  <c r="Y72"/>
  <c r="X72"/>
  <c r="Z14"/>
  <c r="Z130"/>
  <c r="Y15"/>
  <c r="Y131"/>
  <c r="W73"/>
  <c r="X73"/>
  <c r="Z15"/>
  <c r="Z131"/>
  <c r="Y16"/>
  <c r="Y132"/>
  <c r="W74"/>
  <c r="N74"/>
  <c r="S74" s="1"/>
  <c r="Z16"/>
  <c r="Z132"/>
  <c r="G17"/>
  <c r="G133"/>
  <c r="L133" s="1"/>
  <c r="N75"/>
  <c r="S75" s="1"/>
  <c r="G18"/>
  <c r="G134"/>
  <c r="L134" s="1"/>
  <c r="N76"/>
  <c r="S76" s="1"/>
  <c r="G19"/>
  <c r="G135"/>
  <c r="L135" s="1"/>
  <c r="N77"/>
  <c r="S77" s="1"/>
  <c r="G20"/>
  <c r="G136"/>
  <c r="L136" s="1"/>
  <c r="N78"/>
  <c r="S78" s="1"/>
  <c r="T78" s="1"/>
  <c r="G21"/>
  <c r="G137"/>
  <c r="L137" s="1"/>
  <c r="N79"/>
  <c r="S79" s="1"/>
  <c r="G22"/>
  <c r="G138"/>
  <c r="L138" s="1"/>
  <c r="N80"/>
  <c r="S80" s="1"/>
  <c r="G23"/>
  <c r="G139"/>
  <c r="L139" s="1"/>
  <c r="N81"/>
  <c r="S81" s="1"/>
  <c r="G24"/>
  <c r="G140"/>
  <c r="L140" s="1"/>
  <c r="N82"/>
  <c r="S82" s="1"/>
  <c r="T82" s="1"/>
  <c r="G25"/>
  <c r="G141"/>
  <c r="L141" s="1"/>
  <c r="N83"/>
  <c r="S83" s="1"/>
  <c r="G26"/>
  <c r="G142"/>
  <c r="L142" s="1"/>
  <c r="N84"/>
  <c r="S84" s="1"/>
  <c r="G27"/>
  <c r="G143"/>
  <c r="L143" s="1"/>
  <c r="N85"/>
  <c r="S85" s="1"/>
  <c r="G28"/>
  <c r="G144"/>
  <c r="L144" s="1"/>
  <c r="N86"/>
  <c r="S86" s="1"/>
  <c r="G29"/>
  <c r="G145"/>
  <c r="L145" s="1"/>
  <c r="N87"/>
  <c r="S87" s="1"/>
  <c r="G30"/>
  <c r="G146"/>
  <c r="L146" s="1"/>
  <c r="N88"/>
  <c r="S88" s="1"/>
  <c r="G31"/>
  <c r="G147"/>
  <c r="L147" s="1"/>
  <c r="G32"/>
  <c r="G148"/>
  <c r="L148" s="1"/>
  <c r="G33"/>
  <c r="N91"/>
  <c r="S91" s="1"/>
  <c r="T91" s="1"/>
  <c r="G150"/>
  <c r="L150" s="1"/>
  <c r="N92"/>
  <c r="S92" s="1"/>
  <c r="G35"/>
  <c r="G151"/>
  <c r="L151" s="1"/>
  <c r="N93"/>
  <c r="S93" s="1"/>
  <c r="G36"/>
  <c r="G152"/>
  <c r="L152" s="1"/>
  <c r="N94"/>
  <c r="S94" s="1"/>
  <c r="G37"/>
  <c r="G153"/>
  <c r="L153" s="1"/>
  <c r="N95"/>
  <c r="S95" s="1"/>
  <c r="G38"/>
  <c r="G154"/>
  <c r="L154" s="1"/>
  <c r="N96"/>
  <c r="S96" s="1"/>
  <c r="G39"/>
  <c r="G155"/>
  <c r="L155" s="1"/>
  <c r="N97"/>
  <c r="S97" s="1"/>
  <c r="G40"/>
  <c r="G156"/>
  <c r="L156" s="1"/>
  <c r="N98"/>
  <c r="S98" s="1"/>
  <c r="G41"/>
  <c r="G157"/>
  <c r="L157" s="1"/>
  <c r="N99"/>
  <c r="S99" s="1"/>
  <c r="G42"/>
  <c r="G158"/>
  <c r="L158" s="1"/>
  <c r="N100"/>
  <c r="S100" s="1"/>
  <c r="G43"/>
  <c r="G159"/>
  <c r="L159" s="1"/>
  <c r="N101"/>
  <c r="S101" s="1"/>
  <c r="G44"/>
  <c r="F7" i="16"/>
  <c r="G7" s="1"/>
  <c r="L7" s="1"/>
  <c r="F11"/>
  <c r="G11" s="1"/>
  <c r="L11" s="1"/>
  <c r="F15"/>
  <c r="G15" s="1"/>
  <c r="L15" s="1"/>
  <c r="F19"/>
  <c r="G19" s="1"/>
  <c r="L19" s="1"/>
  <c r="F23"/>
  <c r="G23" s="1"/>
  <c r="L23" s="1"/>
  <c r="F27"/>
  <c r="G27" s="1"/>
  <c r="L27" s="1"/>
  <c r="F31"/>
  <c r="G31" s="1"/>
  <c r="L31" s="1"/>
  <c r="F35"/>
  <c r="G35" s="1"/>
  <c r="L35" s="1"/>
  <c r="CA7" i="6"/>
  <c r="E7" i="16" s="1"/>
  <c r="CA11" i="6"/>
  <c r="E11" i="16" s="1"/>
  <c r="CA15" i="6"/>
  <c r="E15" i="16" s="1"/>
  <c r="F122"/>
  <c r="G122" s="1"/>
  <c r="L122" s="1"/>
  <c r="F8"/>
  <c r="G8" s="1"/>
  <c r="L8" s="1"/>
  <c r="F126"/>
  <c r="G126" s="1"/>
  <c r="L126" s="1"/>
  <c r="F12"/>
  <c r="G12" s="1"/>
  <c r="L12" s="1"/>
  <c r="F130"/>
  <c r="G130" s="1"/>
  <c r="L130" s="1"/>
  <c r="F16"/>
  <c r="G16" s="1"/>
  <c r="L16" s="1"/>
  <c r="F134"/>
  <c r="G134" s="1"/>
  <c r="L134" s="1"/>
  <c r="F20"/>
  <c r="G20" s="1"/>
  <c r="L20" s="1"/>
  <c r="F138"/>
  <c r="G138" s="1"/>
  <c r="L138" s="1"/>
  <c r="F24"/>
  <c r="G24" s="1"/>
  <c r="L24" s="1"/>
  <c r="F142"/>
  <c r="G142" s="1"/>
  <c r="L142" s="1"/>
  <c r="F28"/>
  <c r="G28" s="1"/>
  <c r="L28" s="1"/>
  <c r="F146"/>
  <c r="G146" s="1"/>
  <c r="L146" s="1"/>
  <c r="F32"/>
  <c r="G32" s="1"/>
  <c r="L32" s="1"/>
  <c r="F150"/>
  <c r="G150" s="1"/>
  <c r="L150" s="1"/>
  <c r="F36"/>
  <c r="G36" s="1"/>
  <c r="L36" s="1"/>
  <c r="F154"/>
  <c r="G154" s="1"/>
  <c r="L154" s="1"/>
  <c r="F6"/>
  <c r="G6" s="1"/>
  <c r="L6" s="1"/>
  <c r="F124"/>
  <c r="G124" s="1"/>
  <c r="L124" s="1"/>
  <c r="F10"/>
  <c r="G10" s="1"/>
  <c r="L10" s="1"/>
  <c r="F128"/>
  <c r="G128" s="1"/>
  <c r="L128" s="1"/>
  <c r="F14"/>
  <c r="G14" s="1"/>
  <c r="L14" s="1"/>
  <c r="F132"/>
  <c r="G132" s="1"/>
  <c r="L132" s="1"/>
  <c r="F18"/>
  <c r="G18" s="1"/>
  <c r="L18" s="1"/>
  <c r="F136"/>
  <c r="G136" s="1"/>
  <c r="L136" s="1"/>
  <c r="F22"/>
  <c r="G22" s="1"/>
  <c r="L22" s="1"/>
  <c r="F140"/>
  <c r="G140" s="1"/>
  <c r="L140" s="1"/>
  <c r="F26"/>
  <c r="G26" s="1"/>
  <c r="L26" s="1"/>
  <c r="F144"/>
  <c r="G144" s="1"/>
  <c r="L144" s="1"/>
  <c r="F30"/>
  <c r="G30" s="1"/>
  <c r="L30" s="1"/>
  <c r="F152"/>
  <c r="G152" s="1"/>
  <c r="L152" s="1"/>
  <c r="G149" i="11"/>
  <c r="L149" s="1"/>
  <c r="CA6" i="6"/>
  <c r="E6" i="16" s="1"/>
  <c r="CA8" i="6"/>
  <c r="E8" i="16" s="1"/>
  <c r="CA10" i="6"/>
  <c r="E10" i="16" s="1"/>
  <c r="CA12" i="6"/>
  <c r="E12" i="16" s="1"/>
  <c r="CA14" i="6"/>
  <c r="E14" i="16" s="1"/>
  <c r="CA16" i="6"/>
  <c r="E16" i="16" s="1"/>
  <c r="M107"/>
  <c r="N107" s="1"/>
  <c r="S107" s="1"/>
  <c r="F51"/>
  <c r="G51" s="1"/>
  <c r="L51" s="1"/>
  <c r="F168"/>
  <c r="G168" s="1"/>
  <c r="BY46" i="6"/>
  <c r="CA46"/>
  <c r="CC46"/>
  <c r="BY47"/>
  <c r="CA47"/>
  <c r="CC47"/>
  <c r="BY48"/>
  <c r="CA48"/>
  <c r="CC48"/>
  <c r="BY49"/>
  <c r="CA49"/>
  <c r="CC49"/>
  <c r="BY50"/>
  <c r="CA50"/>
  <c r="CC50"/>
  <c r="BY51"/>
  <c r="CA51"/>
  <c r="CC51"/>
  <c r="BY52"/>
  <c r="CA52"/>
  <c r="CC52"/>
  <c r="BY53"/>
  <c r="CA53"/>
  <c r="CC53"/>
  <c r="BY54"/>
  <c r="CA54"/>
  <c r="CC54"/>
  <c r="G160" i="11"/>
  <c r="L160" s="1"/>
  <c r="N102"/>
  <c r="S102" s="1"/>
  <c r="G45"/>
  <c r="G161"/>
  <c r="L161" s="1"/>
  <c r="N103"/>
  <c r="S103" s="1"/>
  <c r="G46"/>
  <c r="G162"/>
  <c r="L162" s="1"/>
  <c r="N104"/>
  <c r="S104" s="1"/>
  <c r="G47"/>
  <c r="G163"/>
  <c r="L163" s="1"/>
  <c r="N105"/>
  <c r="S105" s="1"/>
  <c r="T105" s="1"/>
  <c r="G48"/>
  <c r="G164"/>
  <c r="L164" s="1"/>
  <c r="N106"/>
  <c r="S106" s="1"/>
  <c r="G49"/>
  <c r="G165"/>
  <c r="L165" s="1"/>
  <c r="N107"/>
  <c r="S107" s="1"/>
  <c r="G50"/>
  <c r="G166"/>
  <c r="L166" s="1"/>
  <c r="N108"/>
  <c r="S108" s="1"/>
  <c r="G51"/>
  <c r="G167"/>
  <c r="L167" s="1"/>
  <c r="N109"/>
  <c r="S109" s="1"/>
  <c r="T109" s="1"/>
  <c r="G52"/>
  <c r="G168"/>
  <c r="L168" s="1"/>
  <c r="N110"/>
  <c r="S110" s="1"/>
  <c r="G53"/>
  <c r="G169"/>
  <c r="L169" s="1"/>
  <c r="N111"/>
  <c r="S111" s="1"/>
  <c r="G54"/>
  <c r="G170"/>
  <c r="L170" s="1"/>
  <c r="N112"/>
  <c r="S112" s="1"/>
  <c r="Z11"/>
  <c r="G103"/>
  <c r="L103" s="1"/>
  <c r="N45"/>
  <c r="N161"/>
  <c r="S161" s="1"/>
  <c r="T161" s="1"/>
  <c r="G104"/>
  <c r="L104" s="1"/>
  <c r="N46"/>
  <c r="N162"/>
  <c r="S162" s="1"/>
  <c r="T162" s="1"/>
  <c r="G105"/>
  <c r="L105" s="1"/>
  <c r="N47"/>
  <c r="N163"/>
  <c r="S163" s="1"/>
  <c r="T163" s="1"/>
  <c r="G106"/>
  <c r="L106" s="1"/>
  <c r="N48"/>
  <c r="N164"/>
  <c r="S164" s="1"/>
  <c r="T164" s="1"/>
  <c r="G107"/>
  <c r="L107" s="1"/>
  <c r="N49"/>
  <c r="N165"/>
  <c r="S165" s="1"/>
  <c r="T165" s="1"/>
  <c r="G108"/>
  <c r="L108" s="1"/>
  <c r="N50"/>
  <c r="N166"/>
  <c r="S166" s="1"/>
  <c r="T166" s="1"/>
  <c r="G109"/>
  <c r="L109" s="1"/>
  <c r="N51"/>
  <c r="N167"/>
  <c r="S167" s="1"/>
  <c r="T167" s="1"/>
  <c r="G110"/>
  <c r="L110" s="1"/>
  <c r="N52"/>
  <c r="N168"/>
  <c r="S168" s="1"/>
  <c r="T168" s="1"/>
  <c r="G111"/>
  <c r="L111" s="1"/>
  <c r="N53"/>
  <c r="N169"/>
  <c r="S169" s="1"/>
  <c r="T169" s="1"/>
  <c r="G112"/>
  <c r="L112" s="1"/>
  <c r="N54"/>
  <c r="N170"/>
  <c r="S170" s="1"/>
  <c r="T170" s="1"/>
  <c r="N89"/>
  <c r="S89" s="1"/>
  <c r="N90"/>
  <c r="S90" s="1"/>
  <c r="X44"/>
  <c r="Z160"/>
  <c r="BX45" i="6"/>
  <c r="BZ45"/>
  <c r="BX46"/>
  <c r="BZ46"/>
  <c r="CB46"/>
  <c r="BX47"/>
  <c r="BZ47"/>
  <c r="CB47"/>
  <c r="BX48"/>
  <c r="BZ48"/>
  <c r="CB48"/>
  <c r="BX49"/>
  <c r="BZ49"/>
  <c r="CB49"/>
  <c r="BX50"/>
  <c r="BZ50"/>
  <c r="CB50"/>
  <c r="BX51"/>
  <c r="BZ51"/>
  <c r="CB51"/>
  <c r="BX52"/>
  <c r="BZ52"/>
  <c r="CB52"/>
  <c r="BX53"/>
  <c r="BZ53"/>
  <c r="CB53"/>
  <c r="BX54"/>
  <c r="BZ54"/>
  <c r="CB54"/>
  <c r="CB45"/>
  <c r="BY45"/>
  <c r="CA45"/>
  <c r="CC45"/>
  <c r="BY5"/>
  <c r="BY6"/>
  <c r="BY7"/>
  <c r="BY8"/>
  <c r="BY9"/>
  <c r="BY10"/>
  <c r="BY11"/>
  <c r="BY12"/>
  <c r="BY13"/>
  <c r="BY14"/>
  <c r="BY15"/>
  <c r="BY16"/>
  <c r="CC5"/>
  <c r="CC6"/>
  <c r="CC7"/>
  <c r="CC8"/>
  <c r="CC9"/>
  <c r="CC10"/>
  <c r="CC11"/>
  <c r="CC12"/>
  <c r="CC13"/>
  <c r="CC14"/>
  <c r="CC15"/>
  <c r="CC16"/>
  <c r="F39" i="16"/>
  <c r="G39" s="1"/>
  <c r="L39" s="1"/>
  <c r="F40"/>
  <c r="G40" s="1"/>
  <c r="L40" s="1"/>
  <c r="F41"/>
  <c r="G41" s="1"/>
  <c r="L41" s="1"/>
  <c r="F42"/>
  <c r="G42" s="1"/>
  <c r="L42" s="1"/>
  <c r="F43"/>
  <c r="G43" s="1"/>
  <c r="L43" s="1"/>
  <c r="F44"/>
  <c r="G44" s="1"/>
  <c r="L44" s="1"/>
  <c r="CA44" i="6"/>
  <c r="CC44"/>
  <c r="G34" i="11"/>
  <c r="CA42" i="6"/>
  <c r="CC42"/>
  <c r="BY43"/>
  <c r="CA43"/>
  <c r="CC43"/>
  <c r="G64" i="11"/>
  <c r="L64" s="1"/>
  <c r="N6"/>
  <c r="N122"/>
  <c r="S122" s="1"/>
  <c r="G65"/>
  <c r="L65" s="1"/>
  <c r="N7"/>
  <c r="N123"/>
  <c r="S123" s="1"/>
  <c r="G66"/>
  <c r="L66" s="1"/>
  <c r="N8"/>
  <c r="N124"/>
  <c r="S124" s="1"/>
  <c r="G67"/>
  <c r="L67" s="1"/>
  <c r="N9"/>
  <c r="N125"/>
  <c r="S125" s="1"/>
  <c r="G68"/>
  <c r="L68" s="1"/>
  <c r="N10"/>
  <c r="N126"/>
  <c r="S126" s="1"/>
  <c r="G69"/>
  <c r="L69" s="1"/>
  <c r="N11"/>
  <c r="N127"/>
  <c r="S127" s="1"/>
  <c r="G70"/>
  <c r="L70" s="1"/>
  <c r="N12"/>
  <c r="N128"/>
  <c r="S128" s="1"/>
  <c r="G71"/>
  <c r="L71" s="1"/>
  <c r="N13"/>
  <c r="N129"/>
  <c r="S129" s="1"/>
  <c r="G72"/>
  <c r="L72" s="1"/>
  <c r="N14"/>
  <c r="N130"/>
  <c r="S130" s="1"/>
  <c r="G73"/>
  <c r="L73" s="1"/>
  <c r="N15"/>
  <c r="N131"/>
  <c r="S131" s="1"/>
  <c r="G74"/>
  <c r="L74" s="1"/>
  <c r="N16"/>
  <c r="G6"/>
  <c r="G122"/>
  <c r="L122" s="1"/>
  <c r="N64"/>
  <c r="S64" s="1"/>
  <c r="G7"/>
  <c r="G123"/>
  <c r="L123" s="1"/>
  <c r="N65"/>
  <c r="S65" s="1"/>
  <c r="G8"/>
  <c r="G124"/>
  <c r="L124" s="1"/>
  <c r="N66"/>
  <c r="S66" s="1"/>
  <c r="T66" s="1"/>
  <c r="G9"/>
  <c r="G125"/>
  <c r="L125" s="1"/>
  <c r="N67"/>
  <c r="S67" s="1"/>
  <c r="G10"/>
  <c r="G126"/>
  <c r="L126" s="1"/>
  <c r="N68"/>
  <c r="S68" s="1"/>
  <c r="G11"/>
  <c r="G127"/>
  <c r="L127" s="1"/>
  <c r="N69"/>
  <c r="S69" s="1"/>
  <c r="G12"/>
  <c r="G128"/>
  <c r="L128" s="1"/>
  <c r="N70"/>
  <c r="S70" s="1"/>
  <c r="T70" s="1"/>
  <c r="G13"/>
  <c r="G129"/>
  <c r="L129" s="1"/>
  <c r="N71"/>
  <c r="S71" s="1"/>
  <c r="G14"/>
  <c r="G130"/>
  <c r="L130" s="1"/>
  <c r="N72"/>
  <c r="S72" s="1"/>
  <c r="G15"/>
  <c r="G131"/>
  <c r="L131" s="1"/>
  <c r="N73"/>
  <c r="S73" s="1"/>
  <c r="G16"/>
  <c r="G132"/>
  <c r="L132" s="1"/>
  <c r="N132"/>
  <c r="S132" s="1"/>
  <c r="G75"/>
  <c r="L75" s="1"/>
  <c r="N17"/>
  <c r="N133"/>
  <c r="S133" s="1"/>
  <c r="T133" s="1"/>
  <c r="G76"/>
  <c r="L76" s="1"/>
  <c r="N18"/>
  <c r="N134"/>
  <c r="S134" s="1"/>
  <c r="G77"/>
  <c r="L77" s="1"/>
  <c r="N19"/>
  <c r="N135"/>
  <c r="S135" s="1"/>
  <c r="G78"/>
  <c r="L78" s="1"/>
  <c r="N20"/>
  <c r="N136"/>
  <c r="S136" s="1"/>
  <c r="G79"/>
  <c r="L79" s="1"/>
  <c r="N21"/>
  <c r="N137"/>
  <c r="S137" s="1"/>
  <c r="T137" s="1"/>
  <c r="G80"/>
  <c r="L80" s="1"/>
  <c r="N22"/>
  <c r="N138"/>
  <c r="S138" s="1"/>
  <c r="G81"/>
  <c r="L81" s="1"/>
  <c r="N23"/>
  <c r="N139"/>
  <c r="S139" s="1"/>
  <c r="G82"/>
  <c r="L82" s="1"/>
  <c r="N24"/>
  <c r="N140"/>
  <c r="S140" s="1"/>
  <c r="G83"/>
  <c r="L83" s="1"/>
  <c r="N25"/>
  <c r="N141"/>
  <c r="S141" s="1"/>
  <c r="T141" s="1"/>
  <c r="G84"/>
  <c r="L84" s="1"/>
  <c r="N26"/>
  <c r="N142"/>
  <c r="S142" s="1"/>
  <c r="G85"/>
  <c r="L85" s="1"/>
  <c r="N27"/>
  <c r="N143"/>
  <c r="S143" s="1"/>
  <c r="G86"/>
  <c r="L86" s="1"/>
  <c r="N28"/>
  <c r="N144"/>
  <c r="S144" s="1"/>
  <c r="G87"/>
  <c r="L87" s="1"/>
  <c r="N29"/>
  <c r="N145"/>
  <c r="S145" s="1"/>
  <c r="T145" s="1"/>
  <c r="G88"/>
  <c r="L88" s="1"/>
  <c r="N30"/>
  <c r="N146"/>
  <c r="S146" s="1"/>
  <c r="G89"/>
  <c r="L89" s="1"/>
  <c r="N31"/>
  <c r="N147"/>
  <c r="S147" s="1"/>
  <c r="G90"/>
  <c r="L90" s="1"/>
  <c r="N32"/>
  <c r="N148"/>
  <c r="S148" s="1"/>
  <c r="T148" s="1"/>
  <c r="G91"/>
  <c r="L91" s="1"/>
  <c r="N33"/>
  <c r="N149"/>
  <c r="S149" s="1"/>
  <c r="G92"/>
  <c r="L92" s="1"/>
  <c r="N34"/>
  <c r="N150"/>
  <c r="S150" s="1"/>
  <c r="G93"/>
  <c r="L93" s="1"/>
  <c r="N35"/>
  <c r="N151"/>
  <c r="S151" s="1"/>
  <c r="G94"/>
  <c r="L94" s="1"/>
  <c r="N36"/>
  <c r="N152"/>
  <c r="S152" s="1"/>
  <c r="G95"/>
  <c r="L95" s="1"/>
  <c r="N37"/>
  <c r="N153"/>
  <c r="S153" s="1"/>
  <c r="T153" s="1"/>
  <c r="G96"/>
  <c r="L96" s="1"/>
  <c r="N38"/>
  <c r="N154"/>
  <c r="S154" s="1"/>
  <c r="G97"/>
  <c r="L97" s="1"/>
  <c r="N39"/>
  <c r="N155"/>
  <c r="S155" s="1"/>
  <c r="G98"/>
  <c r="L98" s="1"/>
  <c r="N40"/>
  <c r="N156"/>
  <c r="S156" s="1"/>
  <c r="G99"/>
  <c r="L99" s="1"/>
  <c r="N41"/>
  <c r="N157"/>
  <c r="S157" s="1"/>
  <c r="T157" s="1"/>
  <c r="G100"/>
  <c r="L100" s="1"/>
  <c r="N42"/>
  <c r="N158"/>
  <c r="S158" s="1"/>
  <c r="G101"/>
  <c r="L101" s="1"/>
  <c r="N43"/>
  <c r="N159"/>
  <c r="S159" s="1"/>
  <c r="G102"/>
  <c r="L102" s="1"/>
  <c r="N44"/>
  <c r="N160"/>
  <c r="S160" s="1"/>
  <c r="T160" s="1"/>
  <c r="M6" i="16"/>
  <c r="N6" s="1"/>
  <c r="S6" s="1"/>
  <c r="M7"/>
  <c r="N7" s="1"/>
  <c r="S7" s="1"/>
  <c r="M8"/>
  <c r="N8" s="1"/>
  <c r="S8" s="1"/>
  <c r="T8" s="1"/>
  <c r="M9"/>
  <c r="N9" s="1"/>
  <c r="S9" s="1"/>
  <c r="M10"/>
  <c r="N10" s="1"/>
  <c r="S10" s="1"/>
  <c r="T10" s="1"/>
  <c r="M11"/>
  <c r="N11" s="1"/>
  <c r="S11" s="1"/>
  <c r="M12"/>
  <c r="N12" s="1"/>
  <c r="S12" s="1"/>
  <c r="M13"/>
  <c r="N13" s="1"/>
  <c r="S13" s="1"/>
  <c r="T13" s="1"/>
  <c r="M14"/>
  <c r="N14" s="1"/>
  <c r="S14" s="1"/>
  <c r="M15"/>
  <c r="N15" s="1"/>
  <c r="S15" s="1"/>
  <c r="M16"/>
  <c r="N16" s="1"/>
  <c r="S16" s="1"/>
  <c r="T16" s="1"/>
  <c r="BY17" i="6"/>
  <c r="CA17"/>
  <c r="CC17"/>
  <c r="BY18"/>
  <c r="CA18"/>
  <c r="CC18"/>
  <c r="BY19"/>
  <c r="CA19"/>
  <c r="CC19"/>
  <c r="BY20"/>
  <c r="CA20"/>
  <c r="CC20"/>
  <c r="BY21"/>
  <c r="CA21"/>
  <c r="CC21"/>
  <c r="BY22"/>
  <c r="CA22"/>
  <c r="CC22"/>
  <c r="BY23"/>
  <c r="CA23"/>
  <c r="CC23"/>
  <c r="BY24"/>
  <c r="CA24"/>
  <c r="CC24"/>
  <c r="BY25"/>
  <c r="CA25"/>
  <c r="CC25"/>
  <c r="BY26"/>
  <c r="CA26"/>
  <c r="CC26"/>
  <c r="BY27"/>
  <c r="CA27"/>
  <c r="CC27"/>
  <c r="BY28"/>
  <c r="CA28"/>
  <c r="CC28"/>
  <c r="BY29"/>
  <c r="CA29"/>
  <c r="CC29"/>
  <c r="BY30"/>
  <c r="CA30"/>
  <c r="CC30"/>
  <c r="BY31"/>
  <c r="CA31"/>
  <c r="CC31"/>
  <c r="BY32"/>
  <c r="CA32"/>
  <c r="CC32"/>
  <c r="BY33"/>
  <c r="CA33"/>
  <c r="CC33"/>
  <c r="BY34"/>
  <c r="CA34"/>
  <c r="CC34"/>
  <c r="BY35"/>
  <c r="CA35"/>
  <c r="CC35"/>
  <c r="BY36"/>
  <c r="CA36"/>
  <c r="CC36"/>
  <c r="BY37"/>
  <c r="CA37"/>
  <c r="CC37"/>
  <c r="BY38"/>
  <c r="CA38"/>
  <c r="CC38"/>
  <c r="BY39"/>
  <c r="CA39"/>
  <c r="CC39"/>
  <c r="BY40"/>
  <c r="CA40"/>
  <c r="CC40"/>
  <c r="BY41"/>
  <c r="CA41"/>
  <c r="CC41"/>
  <c r="BY42"/>
  <c r="BY44"/>
  <c r="BZ5"/>
  <c r="CB5"/>
  <c r="BX6"/>
  <c r="BZ6"/>
  <c r="CB6"/>
  <c r="BX7"/>
  <c r="BZ7"/>
  <c r="CB7"/>
  <c r="BX8"/>
  <c r="BZ8"/>
  <c r="CB8"/>
  <c r="BX9"/>
  <c r="BZ9"/>
  <c r="CB9"/>
  <c r="BX10"/>
  <c r="BZ10"/>
  <c r="CB10"/>
  <c r="BX11"/>
  <c r="BZ11"/>
  <c r="CB11"/>
  <c r="BX12"/>
  <c r="BZ12"/>
  <c r="CB12"/>
  <c r="BX13"/>
  <c r="BZ13"/>
  <c r="CB13"/>
  <c r="BX14"/>
  <c r="BZ14"/>
  <c r="CB14"/>
  <c r="BX15"/>
  <c r="BZ15"/>
  <c r="CB15"/>
  <c r="BX16"/>
  <c r="BZ16"/>
  <c r="CB16"/>
  <c r="BX17"/>
  <c r="BZ17"/>
  <c r="CB17"/>
  <c r="M17" i="16"/>
  <c r="N17" s="1"/>
  <c r="S17" s="1"/>
  <c r="BX18" i="6"/>
  <c r="BZ18"/>
  <c r="CB18"/>
  <c r="M18" i="16"/>
  <c r="N18" s="1"/>
  <c r="S18" s="1"/>
  <c r="BX19" i="6"/>
  <c r="BZ19"/>
  <c r="CB19"/>
  <c r="M19" i="16"/>
  <c r="N19" s="1"/>
  <c r="S19" s="1"/>
  <c r="T19" s="1"/>
  <c r="BX20" i="6"/>
  <c r="BZ20"/>
  <c r="CB20"/>
  <c r="M20" i="16"/>
  <c r="N20" s="1"/>
  <c r="S20" s="1"/>
  <c r="BX21" i="6"/>
  <c r="BZ21"/>
  <c r="CB21"/>
  <c r="M21" i="16"/>
  <c r="N21" s="1"/>
  <c r="S21" s="1"/>
  <c r="BX22" i="6"/>
  <c r="BZ22"/>
  <c r="CB22"/>
  <c r="M22" i="16"/>
  <c r="N22" s="1"/>
  <c r="S22" s="1"/>
  <c r="T22" s="1"/>
  <c r="BX23" i="6"/>
  <c r="BZ23"/>
  <c r="CB23"/>
  <c r="M23" i="16"/>
  <c r="N23" s="1"/>
  <c r="S23" s="1"/>
  <c r="T23" s="1"/>
  <c r="BX24" i="6"/>
  <c r="BZ24"/>
  <c r="CB24"/>
  <c r="M24" i="16"/>
  <c r="N24" s="1"/>
  <c r="S24" s="1"/>
  <c r="T24" s="1"/>
  <c r="BX25" i="6"/>
  <c r="BZ25"/>
  <c r="CB25"/>
  <c r="M25" i="16"/>
  <c r="N25" s="1"/>
  <c r="S25" s="1"/>
  <c r="BX26" i="6"/>
  <c r="BZ26"/>
  <c r="CB26"/>
  <c r="M26" i="16"/>
  <c r="N26" s="1"/>
  <c r="S26" s="1"/>
  <c r="BX27" i="6"/>
  <c r="BZ27"/>
  <c r="CB27"/>
  <c r="M27" i="16"/>
  <c r="N27" s="1"/>
  <c r="S27" s="1"/>
  <c r="BX28" i="6"/>
  <c r="BZ28"/>
  <c r="CB28"/>
  <c r="M28" i="16"/>
  <c r="N28" s="1"/>
  <c r="S28" s="1"/>
  <c r="BX29" i="6"/>
  <c r="BZ29"/>
  <c r="CB29"/>
  <c r="M29" i="16"/>
  <c r="N29" s="1"/>
  <c r="S29" s="1"/>
  <c r="T29" s="1"/>
  <c r="BX30" i="6"/>
  <c r="BZ30"/>
  <c r="CB30"/>
  <c r="M30" i="16"/>
  <c r="N30" s="1"/>
  <c r="S30" s="1"/>
  <c r="T30" s="1"/>
  <c r="BX31" i="6"/>
  <c r="BZ31"/>
  <c r="CB31"/>
  <c r="M31" i="16"/>
  <c r="N31" s="1"/>
  <c r="S31" s="1"/>
  <c r="BX32" i="6"/>
  <c r="BZ32"/>
  <c r="CB32"/>
  <c r="M32" i="16"/>
  <c r="N32" s="1"/>
  <c r="S32" s="1"/>
  <c r="T32" s="1"/>
  <c r="BX33" i="6"/>
  <c r="BZ33"/>
  <c r="CB33"/>
  <c r="M33" i="16"/>
  <c r="N33" s="1"/>
  <c r="S33" s="1"/>
  <c r="BX34" i="6"/>
  <c r="BZ34"/>
  <c r="CB34"/>
  <c r="M34" i="16"/>
  <c r="N34" s="1"/>
  <c r="S34" s="1"/>
  <c r="BX35" i="6"/>
  <c r="BZ35"/>
  <c r="CB35"/>
  <c r="M35" i="16"/>
  <c r="N35" s="1"/>
  <c r="S35" s="1"/>
  <c r="T35" s="1"/>
  <c r="BX36" i="6"/>
  <c r="BZ36"/>
  <c r="CB36"/>
  <c r="M36" i="16"/>
  <c r="N36" s="1"/>
  <c r="S36" s="1"/>
  <c r="BX37" i="6"/>
  <c r="BZ37"/>
  <c r="CB37"/>
  <c r="M37" i="16"/>
  <c r="N37" s="1"/>
  <c r="S37" s="1"/>
  <c r="T37" s="1"/>
  <c r="BX38" i="6"/>
  <c r="BZ38"/>
  <c r="CB38"/>
  <c r="M38" i="16"/>
  <c r="N38" s="1"/>
  <c r="S38" s="1"/>
  <c r="T38" s="1"/>
  <c r="BX39" i="6"/>
  <c r="BZ39"/>
  <c r="CB39"/>
  <c r="M39" i="16"/>
  <c r="N39" s="1"/>
  <c r="S39" s="1"/>
  <c r="T39" s="1"/>
  <c r="BX40" i="6"/>
  <c r="BZ40"/>
  <c r="CB40"/>
  <c r="M40" i="16"/>
  <c r="N40" s="1"/>
  <c r="S40" s="1"/>
  <c r="T40" s="1"/>
  <c r="BX41" i="6"/>
  <c r="BZ41"/>
  <c r="CB41"/>
  <c r="M41" i="16"/>
  <c r="N41" s="1"/>
  <c r="S41" s="1"/>
  <c r="BX42" i="6"/>
  <c r="BZ42"/>
  <c r="CB42"/>
  <c r="M42" i="16"/>
  <c r="N42" s="1"/>
  <c r="S42" s="1"/>
  <c r="BX43" i="6"/>
  <c r="BZ43"/>
  <c r="CB43"/>
  <c r="M43" i="16"/>
  <c r="N43" s="1"/>
  <c r="S43" s="1"/>
  <c r="T43" s="1"/>
  <c r="BX44" i="6"/>
  <c r="BZ44"/>
  <c r="CB44"/>
  <c r="M44" i="16"/>
  <c r="N44" s="1"/>
  <c r="S44" s="1"/>
  <c r="T44" s="1"/>
  <c r="T152" i="11" l="1"/>
  <c r="T144"/>
  <c r="T140"/>
  <c r="T132"/>
  <c r="T128"/>
  <c r="T124"/>
  <c r="T14" i="16"/>
  <c r="T6"/>
  <c r="T9"/>
  <c r="T156" i="11"/>
  <c r="T136"/>
  <c r="T7" i="16"/>
  <c r="T15"/>
  <c r="T158" i="11"/>
  <c r="T154"/>
  <c r="T150"/>
  <c r="T146"/>
  <c r="T142"/>
  <c r="T138"/>
  <c r="T134"/>
  <c r="T42" i="16"/>
  <c r="T36"/>
  <c r="T34"/>
  <c r="T31"/>
  <c r="T28"/>
  <c r="T26"/>
  <c r="T21"/>
  <c r="T20"/>
  <c r="T18"/>
  <c r="T17"/>
  <c r="T12"/>
  <c r="T149" i="11"/>
  <c r="T130"/>
  <c r="T126"/>
  <c r="T122"/>
  <c r="T33" i="16"/>
  <c r="T11"/>
  <c r="T98" i="11"/>
  <c r="T94"/>
  <c r="T86"/>
  <c r="T41" i="16"/>
  <c r="T27"/>
  <c r="T25"/>
  <c r="T71" i="11"/>
  <c r="T67"/>
  <c r="T159"/>
  <c r="T155"/>
  <c r="T151"/>
  <c r="T147"/>
  <c r="T143"/>
  <c r="T139"/>
  <c r="T135"/>
  <c r="T73"/>
  <c r="T69"/>
  <c r="T65"/>
  <c r="T131"/>
  <c r="T127"/>
  <c r="T123"/>
  <c r="T89"/>
  <c r="T112"/>
  <c r="T108"/>
  <c r="T104"/>
  <c r="T101"/>
  <c r="T97"/>
  <c r="T93"/>
  <c r="T85"/>
  <c r="T81"/>
  <c r="T77"/>
  <c r="T103" i="16"/>
  <c r="T72" i="11"/>
  <c r="T68"/>
  <c r="T64"/>
  <c r="T90"/>
  <c r="T111"/>
  <c r="T107"/>
  <c r="T103"/>
  <c r="T100"/>
  <c r="T96"/>
  <c r="T92"/>
  <c r="T88"/>
  <c r="T84"/>
  <c r="T80"/>
  <c r="T76"/>
  <c r="T74"/>
  <c r="T129"/>
  <c r="T125"/>
  <c r="T110"/>
  <c r="T106"/>
  <c r="T102"/>
  <c r="T99"/>
  <c r="T95"/>
  <c r="T87"/>
  <c r="T83"/>
  <c r="T79"/>
  <c r="T75"/>
  <c r="T45" i="16"/>
  <c r="W125" i="11"/>
  <c r="F5" i="16"/>
  <c r="G5" s="1"/>
  <c r="L5" s="1"/>
  <c r="Y128" i="11"/>
  <c r="W132"/>
  <c r="W126"/>
  <c r="Z6"/>
  <c r="X129"/>
  <c r="Z10"/>
  <c r="Y8"/>
  <c r="Z5"/>
  <c r="Y67"/>
  <c r="X71"/>
  <c r="X130"/>
  <c r="Y11"/>
  <c r="W66"/>
  <c r="E5" i="16"/>
  <c r="Z5" s="1"/>
  <c r="X131" i="11"/>
  <c r="X15"/>
  <c r="W122"/>
  <c r="Z69"/>
  <c r="Z44"/>
  <c r="W69"/>
  <c r="Z64"/>
  <c r="Z68"/>
  <c r="Z73"/>
  <c r="X127"/>
  <c r="W71"/>
  <c r="Z124"/>
  <c r="Z8"/>
  <c r="X16"/>
  <c r="W72"/>
  <c r="Z128"/>
  <c r="W9"/>
  <c r="Z65"/>
  <c r="X132"/>
  <c r="W13"/>
  <c r="Z7"/>
  <c r="W129"/>
  <c r="Y127"/>
  <c r="W14"/>
  <c r="Y68"/>
  <c r="Y64"/>
  <c r="Y130"/>
  <c r="Z123"/>
  <c r="W16"/>
  <c r="Z72"/>
  <c r="W12"/>
  <c r="W63"/>
  <c r="X14"/>
  <c r="Y65"/>
  <c r="Y5"/>
  <c r="W10"/>
  <c r="Z66"/>
  <c r="Y6"/>
  <c r="W131"/>
  <c r="X70"/>
  <c r="Z9"/>
  <c r="Y7"/>
  <c r="Z122"/>
  <c r="Y73"/>
  <c r="X12"/>
  <c r="Z125"/>
  <c r="Y123"/>
  <c r="X160"/>
  <c r="W15"/>
  <c r="Y70"/>
  <c r="Z67"/>
  <c r="Y74"/>
  <c r="X13"/>
  <c r="Z126"/>
  <c r="Y124"/>
  <c r="X121"/>
  <c r="Z121"/>
  <c r="X63"/>
  <c r="Z63"/>
  <c r="Y121"/>
  <c r="W121"/>
  <c r="E102" i="16"/>
  <c r="M159"/>
  <c r="N159" s="1"/>
  <c r="S159" s="1"/>
  <c r="D159"/>
  <c r="E100"/>
  <c r="M157"/>
  <c r="N157" s="1"/>
  <c r="S157" s="1"/>
  <c r="D157"/>
  <c r="E98"/>
  <c r="M155"/>
  <c r="N155" s="1"/>
  <c r="S155" s="1"/>
  <c r="D155"/>
  <c r="E96"/>
  <c r="M153"/>
  <c r="N153" s="1"/>
  <c r="S153" s="1"/>
  <c r="D153"/>
  <c r="E94"/>
  <c r="D152"/>
  <c r="E93"/>
  <c r="M150"/>
  <c r="N150" s="1"/>
  <c r="S150" s="1"/>
  <c r="T150" s="1"/>
  <c r="D150"/>
  <c r="E91"/>
  <c r="D149"/>
  <c r="E90"/>
  <c r="M147"/>
  <c r="N147" s="1"/>
  <c r="S147" s="1"/>
  <c r="T147" s="1"/>
  <c r="D147"/>
  <c r="M146"/>
  <c r="N146" s="1"/>
  <c r="S146" s="1"/>
  <c r="T146" s="1"/>
  <c r="E88"/>
  <c r="D146"/>
  <c r="M145"/>
  <c r="N145" s="1"/>
  <c r="S145" s="1"/>
  <c r="T145" s="1"/>
  <c r="E87"/>
  <c r="D145"/>
  <c r="M144"/>
  <c r="N144" s="1"/>
  <c r="S144" s="1"/>
  <c r="T144" s="1"/>
  <c r="E86"/>
  <c r="D144"/>
  <c r="M143"/>
  <c r="N143" s="1"/>
  <c r="S143" s="1"/>
  <c r="T143" s="1"/>
  <c r="E85"/>
  <c r="D143"/>
  <c r="M142"/>
  <c r="N142" s="1"/>
  <c r="S142" s="1"/>
  <c r="T142" s="1"/>
  <c r="E84"/>
  <c r="D142"/>
  <c r="M141"/>
  <c r="N141" s="1"/>
  <c r="S141" s="1"/>
  <c r="T141" s="1"/>
  <c r="E83"/>
  <c r="D141"/>
  <c r="M140"/>
  <c r="N140" s="1"/>
  <c r="S140" s="1"/>
  <c r="T140" s="1"/>
  <c r="E82"/>
  <c r="D140"/>
  <c r="M139"/>
  <c r="N139" s="1"/>
  <c r="S139" s="1"/>
  <c r="T139" s="1"/>
  <c r="E81"/>
  <c r="D139"/>
  <c r="M138"/>
  <c r="N138" s="1"/>
  <c r="S138" s="1"/>
  <c r="T138" s="1"/>
  <c r="E80"/>
  <c r="D138"/>
  <c r="M137"/>
  <c r="N137" s="1"/>
  <c r="S137" s="1"/>
  <c r="T137" s="1"/>
  <c r="E79"/>
  <c r="D137"/>
  <c r="M136"/>
  <c r="N136" s="1"/>
  <c r="S136" s="1"/>
  <c r="T136" s="1"/>
  <c r="E78"/>
  <c r="D136"/>
  <c r="M135"/>
  <c r="N135" s="1"/>
  <c r="S135" s="1"/>
  <c r="T135" s="1"/>
  <c r="E77"/>
  <c r="D135"/>
  <c r="M134"/>
  <c r="N134" s="1"/>
  <c r="S134" s="1"/>
  <c r="T134" s="1"/>
  <c r="E76"/>
  <c r="D134"/>
  <c r="M133"/>
  <c r="N133" s="1"/>
  <c r="S133" s="1"/>
  <c r="T133" s="1"/>
  <c r="E75"/>
  <c r="D133"/>
  <c r="E74"/>
  <c r="D132"/>
  <c r="E73"/>
  <c r="D15"/>
  <c r="D130"/>
  <c r="E71"/>
  <c r="D13"/>
  <c r="D128"/>
  <c r="E69"/>
  <c r="D11"/>
  <c r="D126"/>
  <c r="E67"/>
  <c r="D9"/>
  <c r="D124"/>
  <c r="E65"/>
  <c r="D7"/>
  <c r="D122"/>
  <c r="E63"/>
  <c r="D5"/>
  <c r="F159"/>
  <c r="G159" s="1"/>
  <c r="L159" s="1"/>
  <c r="M160"/>
  <c r="N160" s="1"/>
  <c r="S160" s="1"/>
  <c r="D160"/>
  <c r="E101"/>
  <c r="M158"/>
  <c r="N158" s="1"/>
  <c r="S158" s="1"/>
  <c r="D158"/>
  <c r="E99"/>
  <c r="M156"/>
  <c r="N156" s="1"/>
  <c r="S156" s="1"/>
  <c r="D156"/>
  <c r="E97"/>
  <c r="M154"/>
  <c r="N154" s="1"/>
  <c r="S154" s="1"/>
  <c r="T154" s="1"/>
  <c r="D154"/>
  <c r="E95"/>
  <c r="M152"/>
  <c r="N152" s="1"/>
  <c r="S152" s="1"/>
  <c r="T152" s="1"/>
  <c r="M151"/>
  <c r="N151" s="1"/>
  <c r="S151" s="1"/>
  <c r="T151" s="1"/>
  <c r="D151"/>
  <c r="E92"/>
  <c r="M149"/>
  <c r="N149" s="1"/>
  <c r="S149" s="1"/>
  <c r="T149" s="1"/>
  <c r="M148"/>
  <c r="N148" s="1"/>
  <c r="S148" s="1"/>
  <c r="D148"/>
  <c r="E89"/>
  <c r="F102"/>
  <c r="G102" s="1"/>
  <c r="L102" s="1"/>
  <c r="D44"/>
  <c r="F101"/>
  <c r="G101" s="1"/>
  <c r="L101" s="1"/>
  <c r="D43"/>
  <c r="F100"/>
  <c r="G100" s="1"/>
  <c r="L100" s="1"/>
  <c r="D42"/>
  <c r="F99"/>
  <c r="G99" s="1"/>
  <c r="L99" s="1"/>
  <c r="D41"/>
  <c r="F98"/>
  <c r="G98" s="1"/>
  <c r="L98" s="1"/>
  <c r="D40"/>
  <c r="F97"/>
  <c r="G97" s="1"/>
  <c r="L97" s="1"/>
  <c r="D39"/>
  <c r="F96"/>
  <c r="G96" s="1"/>
  <c r="L96" s="1"/>
  <c r="D38"/>
  <c r="F95"/>
  <c r="G95" s="1"/>
  <c r="L95" s="1"/>
  <c r="D37"/>
  <c r="F94"/>
  <c r="G94" s="1"/>
  <c r="L94" s="1"/>
  <c r="D100"/>
  <c r="E41"/>
  <c r="E156"/>
  <c r="D98"/>
  <c r="E39"/>
  <c r="E154"/>
  <c r="D96"/>
  <c r="E37"/>
  <c r="E152"/>
  <c r="D94"/>
  <c r="E35"/>
  <c r="E150"/>
  <c r="D92"/>
  <c r="E33"/>
  <c r="E148"/>
  <c r="D90"/>
  <c r="E31"/>
  <c r="E146"/>
  <c r="D88"/>
  <c r="E29"/>
  <c r="E144"/>
  <c r="D86"/>
  <c r="E27"/>
  <c r="E142"/>
  <c r="D84"/>
  <c r="E25"/>
  <c r="E140"/>
  <c r="D82"/>
  <c r="E23"/>
  <c r="E138"/>
  <c r="D80"/>
  <c r="E21"/>
  <c r="E136"/>
  <c r="D78"/>
  <c r="E19"/>
  <c r="E134"/>
  <c r="D76"/>
  <c r="E17"/>
  <c r="M131"/>
  <c r="N131" s="1"/>
  <c r="S131" s="1"/>
  <c r="T131" s="1"/>
  <c r="F73"/>
  <c r="G73" s="1"/>
  <c r="L73" s="1"/>
  <c r="M129"/>
  <c r="N129" s="1"/>
  <c r="S129" s="1"/>
  <c r="T129" s="1"/>
  <c r="F71"/>
  <c r="G71" s="1"/>
  <c r="L71" s="1"/>
  <c r="M127"/>
  <c r="N127" s="1"/>
  <c r="S127" s="1"/>
  <c r="T127" s="1"/>
  <c r="F69"/>
  <c r="G69" s="1"/>
  <c r="L69" s="1"/>
  <c r="M125"/>
  <c r="N125" s="1"/>
  <c r="S125" s="1"/>
  <c r="T125" s="1"/>
  <c r="F67"/>
  <c r="G67" s="1"/>
  <c r="L67" s="1"/>
  <c r="M123"/>
  <c r="N123" s="1"/>
  <c r="S123" s="1"/>
  <c r="T123" s="1"/>
  <c r="F65"/>
  <c r="G65" s="1"/>
  <c r="L65" s="1"/>
  <c r="M121"/>
  <c r="N121" s="1"/>
  <c r="S121" s="1"/>
  <c r="T121" s="1"/>
  <c r="F63"/>
  <c r="G63" s="1"/>
  <c r="L63" s="1"/>
  <c r="G121" i="11"/>
  <c r="L121" s="1"/>
  <c r="N121"/>
  <c r="S121" s="1"/>
  <c r="G63"/>
  <c r="L63" s="1"/>
  <c r="E159" i="16"/>
  <c r="D101"/>
  <c r="E42"/>
  <c r="E160"/>
  <c r="M102"/>
  <c r="N102" s="1"/>
  <c r="S102" s="1"/>
  <c r="M100"/>
  <c r="N100" s="1"/>
  <c r="S100" s="1"/>
  <c r="F157"/>
  <c r="G157" s="1"/>
  <c r="L157" s="1"/>
  <c r="M98"/>
  <c r="N98" s="1"/>
  <c r="S98" s="1"/>
  <c r="F155"/>
  <c r="G155" s="1"/>
  <c r="L155" s="1"/>
  <c r="E132"/>
  <c r="E130"/>
  <c r="E128"/>
  <c r="E126"/>
  <c r="E124"/>
  <c r="E122"/>
  <c r="D74"/>
  <c r="D72"/>
  <c r="D70"/>
  <c r="D68"/>
  <c r="D66"/>
  <c r="D64"/>
  <c r="E161"/>
  <c r="D103"/>
  <c r="F148"/>
  <c r="G148" s="1"/>
  <c r="L148" s="1"/>
  <c r="D170"/>
  <c r="E111"/>
  <c r="D53"/>
  <c r="D168"/>
  <c r="E109"/>
  <c r="D51"/>
  <c r="D166"/>
  <c r="E107"/>
  <c r="D49"/>
  <c r="D164"/>
  <c r="E105"/>
  <c r="D47"/>
  <c r="D162"/>
  <c r="D161"/>
  <c r="M94"/>
  <c r="N94" s="1"/>
  <c r="S94" s="1"/>
  <c r="T94" s="1"/>
  <c r="M92"/>
  <c r="N92" s="1"/>
  <c r="S92" s="1"/>
  <c r="M90"/>
  <c r="N90" s="1"/>
  <c r="S90" s="1"/>
  <c r="M81"/>
  <c r="N81" s="1"/>
  <c r="S81" s="1"/>
  <c r="M79"/>
  <c r="N79" s="1"/>
  <c r="S79" s="1"/>
  <c r="M74"/>
  <c r="N74" s="1"/>
  <c r="S74" s="1"/>
  <c r="M68"/>
  <c r="N68" s="1"/>
  <c r="S68" s="1"/>
  <c r="M66"/>
  <c r="N66" s="1"/>
  <c r="S66" s="1"/>
  <c r="X11"/>
  <c r="Z11"/>
  <c r="Z10"/>
  <c r="X10"/>
  <c r="X9"/>
  <c r="Z9"/>
  <c r="Z8"/>
  <c r="X8"/>
  <c r="M89"/>
  <c r="N89" s="1"/>
  <c r="S89" s="1"/>
  <c r="M87"/>
  <c r="N87" s="1"/>
  <c r="S87" s="1"/>
  <c r="M85"/>
  <c r="N85" s="1"/>
  <c r="S85" s="1"/>
  <c r="M83"/>
  <c r="N83" s="1"/>
  <c r="S83" s="1"/>
  <c r="M76"/>
  <c r="N76" s="1"/>
  <c r="S76" s="1"/>
  <c r="M73"/>
  <c r="N73" s="1"/>
  <c r="S73" s="1"/>
  <c r="M71"/>
  <c r="N71" s="1"/>
  <c r="S71" s="1"/>
  <c r="T71" s="1"/>
  <c r="M65"/>
  <c r="N65" s="1"/>
  <c r="S65" s="1"/>
  <c r="M170"/>
  <c r="N170" s="1"/>
  <c r="S170" s="1"/>
  <c r="M54"/>
  <c r="N54" s="1"/>
  <c r="S54" s="1"/>
  <c r="T54" s="1"/>
  <c r="F112"/>
  <c r="G112" s="1"/>
  <c r="L112" s="1"/>
  <c r="T112" s="1"/>
  <c r="M169"/>
  <c r="N169" s="1"/>
  <c r="S169" s="1"/>
  <c r="M53"/>
  <c r="N53" s="1"/>
  <c r="S53" s="1"/>
  <c r="T53" s="1"/>
  <c r="F111"/>
  <c r="G111" s="1"/>
  <c r="L111" s="1"/>
  <c r="T111" s="1"/>
  <c r="M168"/>
  <c r="N168" s="1"/>
  <c r="S168" s="1"/>
  <c r="M52"/>
  <c r="N52" s="1"/>
  <c r="S52" s="1"/>
  <c r="T52" s="1"/>
  <c r="F110"/>
  <c r="G110" s="1"/>
  <c r="L110" s="1"/>
  <c r="T110" s="1"/>
  <c r="M167"/>
  <c r="N167" s="1"/>
  <c r="S167" s="1"/>
  <c r="M51"/>
  <c r="N51" s="1"/>
  <c r="S51" s="1"/>
  <c r="T51" s="1"/>
  <c r="F109"/>
  <c r="G109" s="1"/>
  <c r="L109" s="1"/>
  <c r="T109" s="1"/>
  <c r="M166"/>
  <c r="N166" s="1"/>
  <c r="S166" s="1"/>
  <c r="M50"/>
  <c r="N50" s="1"/>
  <c r="S50" s="1"/>
  <c r="T50" s="1"/>
  <c r="F108"/>
  <c r="G108" s="1"/>
  <c r="L108" s="1"/>
  <c r="T108" s="1"/>
  <c r="M165"/>
  <c r="N165" s="1"/>
  <c r="S165" s="1"/>
  <c r="M49"/>
  <c r="N49" s="1"/>
  <c r="S49" s="1"/>
  <c r="T49" s="1"/>
  <c r="F107"/>
  <c r="G107" s="1"/>
  <c r="L107" s="1"/>
  <c r="T107" s="1"/>
  <c r="M164"/>
  <c r="N164" s="1"/>
  <c r="S164" s="1"/>
  <c r="M48"/>
  <c r="N48" s="1"/>
  <c r="S48" s="1"/>
  <c r="T48" s="1"/>
  <c r="F106"/>
  <c r="G106" s="1"/>
  <c r="L106" s="1"/>
  <c r="T106" s="1"/>
  <c r="M163"/>
  <c r="N163" s="1"/>
  <c r="S163" s="1"/>
  <c r="M47"/>
  <c r="N47" s="1"/>
  <c r="S47" s="1"/>
  <c r="T47" s="1"/>
  <c r="F105"/>
  <c r="G105" s="1"/>
  <c r="L105" s="1"/>
  <c r="T105" s="1"/>
  <c r="M162"/>
  <c r="N162" s="1"/>
  <c r="S162" s="1"/>
  <c r="M46"/>
  <c r="N46" s="1"/>
  <c r="S46" s="1"/>
  <c r="T46" s="1"/>
  <c r="F104"/>
  <c r="G104" s="1"/>
  <c r="L104" s="1"/>
  <c r="T104" s="1"/>
  <c r="Z16"/>
  <c r="X16"/>
  <c r="X15"/>
  <c r="Z15"/>
  <c r="Z14"/>
  <c r="X14"/>
  <c r="X13"/>
  <c r="Z13"/>
  <c r="Z12"/>
  <c r="X12"/>
  <c r="X7"/>
  <c r="Z7"/>
  <c r="Z6"/>
  <c r="X6"/>
  <c r="D36"/>
  <c r="F93"/>
  <c r="G93" s="1"/>
  <c r="L93" s="1"/>
  <c r="D35"/>
  <c r="F92"/>
  <c r="G92" s="1"/>
  <c r="L92" s="1"/>
  <c r="D34"/>
  <c r="F91"/>
  <c r="G91" s="1"/>
  <c r="L91" s="1"/>
  <c r="D33"/>
  <c r="F90"/>
  <c r="G90" s="1"/>
  <c r="L90" s="1"/>
  <c r="D32"/>
  <c r="F89"/>
  <c r="G89" s="1"/>
  <c r="L89" s="1"/>
  <c r="D31"/>
  <c r="F88"/>
  <c r="G88" s="1"/>
  <c r="L88" s="1"/>
  <c r="D30"/>
  <c r="F87"/>
  <c r="G87" s="1"/>
  <c r="L87" s="1"/>
  <c r="D29"/>
  <c r="F86"/>
  <c r="G86" s="1"/>
  <c r="L86" s="1"/>
  <c r="D28"/>
  <c r="F85"/>
  <c r="G85" s="1"/>
  <c r="L85" s="1"/>
  <c r="D27"/>
  <c r="F84"/>
  <c r="G84" s="1"/>
  <c r="L84" s="1"/>
  <c r="D26"/>
  <c r="F83"/>
  <c r="G83" s="1"/>
  <c r="L83" s="1"/>
  <c r="D25"/>
  <c r="F82"/>
  <c r="G82" s="1"/>
  <c r="L82" s="1"/>
  <c r="D24"/>
  <c r="F81"/>
  <c r="G81" s="1"/>
  <c r="L81" s="1"/>
  <c r="D23"/>
  <c r="F80"/>
  <c r="G80" s="1"/>
  <c r="L80" s="1"/>
  <c r="D22"/>
  <c r="F79"/>
  <c r="G79" s="1"/>
  <c r="L79" s="1"/>
  <c r="D21"/>
  <c r="F78"/>
  <c r="G78" s="1"/>
  <c r="L78" s="1"/>
  <c r="D20"/>
  <c r="F77"/>
  <c r="G77" s="1"/>
  <c r="L77" s="1"/>
  <c r="D19"/>
  <c r="F76"/>
  <c r="G76" s="1"/>
  <c r="L76" s="1"/>
  <c r="D18"/>
  <c r="F75"/>
  <c r="G75" s="1"/>
  <c r="L75" s="1"/>
  <c r="D17"/>
  <c r="M132"/>
  <c r="N132" s="1"/>
  <c r="S132" s="1"/>
  <c r="T132" s="1"/>
  <c r="D16"/>
  <c r="D131"/>
  <c r="E72"/>
  <c r="D14"/>
  <c r="D129"/>
  <c r="E70"/>
  <c r="D12"/>
  <c r="D127"/>
  <c r="E68"/>
  <c r="D10"/>
  <c r="D125"/>
  <c r="E66"/>
  <c r="D8"/>
  <c r="D123"/>
  <c r="E64"/>
  <c r="D6"/>
  <c r="D121"/>
  <c r="M101"/>
  <c r="N101" s="1"/>
  <c r="S101" s="1"/>
  <c r="T101" s="1"/>
  <c r="D102"/>
  <c r="E157"/>
  <c r="D99"/>
  <c r="E40"/>
  <c r="E155"/>
  <c r="D97"/>
  <c r="E38"/>
  <c r="E153"/>
  <c r="D95"/>
  <c r="E36"/>
  <c r="E151"/>
  <c r="D93"/>
  <c r="E34"/>
  <c r="E149"/>
  <c r="D91"/>
  <c r="E32"/>
  <c r="E147"/>
  <c r="D89"/>
  <c r="E30"/>
  <c r="E145"/>
  <c r="D87"/>
  <c r="E28"/>
  <c r="E143"/>
  <c r="D85"/>
  <c r="E26"/>
  <c r="E141"/>
  <c r="D83"/>
  <c r="E24"/>
  <c r="E139"/>
  <c r="D81"/>
  <c r="E22"/>
  <c r="E137"/>
  <c r="D79"/>
  <c r="E20"/>
  <c r="E135"/>
  <c r="D77"/>
  <c r="E18"/>
  <c r="E133"/>
  <c r="D75"/>
  <c r="F74"/>
  <c r="G74" s="1"/>
  <c r="L74" s="1"/>
  <c r="M130"/>
  <c r="N130" s="1"/>
  <c r="S130" s="1"/>
  <c r="T130" s="1"/>
  <c r="F72"/>
  <c r="G72" s="1"/>
  <c r="L72" s="1"/>
  <c r="M128"/>
  <c r="N128" s="1"/>
  <c r="S128" s="1"/>
  <c r="T128" s="1"/>
  <c r="F70"/>
  <c r="G70" s="1"/>
  <c r="L70" s="1"/>
  <c r="M126"/>
  <c r="N126" s="1"/>
  <c r="S126" s="1"/>
  <c r="T126" s="1"/>
  <c r="F68"/>
  <c r="G68" s="1"/>
  <c r="L68" s="1"/>
  <c r="M124"/>
  <c r="N124" s="1"/>
  <c r="S124" s="1"/>
  <c r="T124" s="1"/>
  <c r="F66"/>
  <c r="G66" s="1"/>
  <c r="L66" s="1"/>
  <c r="M122"/>
  <c r="N122" s="1"/>
  <c r="S122" s="1"/>
  <c r="T122" s="1"/>
  <c r="F64"/>
  <c r="G64" s="1"/>
  <c r="L64" s="1"/>
  <c r="M5"/>
  <c r="N5" s="1"/>
  <c r="S5" s="1"/>
  <c r="N63" i="11"/>
  <c r="S63" s="1"/>
  <c r="G5"/>
  <c r="N5"/>
  <c r="F153" i="16"/>
  <c r="G153" s="1"/>
  <c r="L153" s="1"/>
  <c r="E43"/>
  <c r="E158"/>
  <c r="E44"/>
  <c r="F160"/>
  <c r="G160" s="1"/>
  <c r="L160" s="1"/>
  <c r="F158"/>
  <c r="G158" s="1"/>
  <c r="L158" s="1"/>
  <c r="M99"/>
  <c r="N99" s="1"/>
  <c r="S99" s="1"/>
  <c r="F156"/>
  <c r="G156" s="1"/>
  <c r="L156" s="1"/>
  <c r="M97"/>
  <c r="N97" s="1"/>
  <c r="S97" s="1"/>
  <c r="E131"/>
  <c r="E129"/>
  <c r="E127"/>
  <c r="E125"/>
  <c r="E123"/>
  <c r="E121"/>
  <c r="D73"/>
  <c r="D71"/>
  <c r="D69"/>
  <c r="D67"/>
  <c r="D65"/>
  <c r="D63"/>
  <c r="E45"/>
  <c r="E103"/>
  <c r="E112"/>
  <c r="D54"/>
  <c r="D169"/>
  <c r="E110"/>
  <c r="D52"/>
  <c r="D167"/>
  <c r="E108"/>
  <c r="D50"/>
  <c r="D165"/>
  <c r="E106"/>
  <c r="D48"/>
  <c r="D163"/>
  <c r="E104"/>
  <c r="D46"/>
  <c r="D45"/>
  <c r="Z170" i="11"/>
  <c r="X170"/>
  <c r="Z54"/>
  <c r="X54"/>
  <c r="Y112"/>
  <c r="W112"/>
  <c r="Z169"/>
  <c r="X169"/>
  <c r="X53"/>
  <c r="Z53"/>
  <c r="Y111"/>
  <c r="W111"/>
  <c r="Z168"/>
  <c r="X168"/>
  <c r="Z52"/>
  <c r="X52"/>
  <c r="Y110"/>
  <c r="W110"/>
  <c r="X167"/>
  <c r="Z167"/>
  <c r="Z51"/>
  <c r="X51"/>
  <c r="W109"/>
  <c r="Y109"/>
  <c r="Z166"/>
  <c r="X166"/>
  <c r="Z50"/>
  <c r="X50"/>
  <c r="Y108"/>
  <c r="W108"/>
  <c r="Z165"/>
  <c r="X165"/>
  <c r="Z49"/>
  <c r="X49"/>
  <c r="Y107"/>
  <c r="W107"/>
  <c r="Z164"/>
  <c r="X164"/>
  <c r="Z48"/>
  <c r="X48"/>
  <c r="Y106"/>
  <c r="W106"/>
  <c r="Z163"/>
  <c r="X163"/>
  <c r="X47"/>
  <c r="Z47"/>
  <c r="Y105"/>
  <c r="W105"/>
  <c r="Z162"/>
  <c r="X162"/>
  <c r="Z46"/>
  <c r="X46"/>
  <c r="Y104"/>
  <c r="W104"/>
  <c r="Z161"/>
  <c r="X161"/>
  <c r="Z45"/>
  <c r="X45"/>
  <c r="Y103"/>
  <c r="W103"/>
  <c r="Z112"/>
  <c r="X112"/>
  <c r="Y170"/>
  <c r="W170"/>
  <c r="Y54"/>
  <c r="W54"/>
  <c r="Z111"/>
  <c r="X111"/>
  <c r="Y169"/>
  <c r="W169"/>
  <c r="Y53"/>
  <c r="W53"/>
  <c r="X110"/>
  <c r="Z110"/>
  <c r="Y168"/>
  <c r="W168"/>
  <c r="Y52"/>
  <c r="W52"/>
  <c r="X109"/>
  <c r="Z109"/>
  <c r="W167"/>
  <c r="Y167"/>
  <c r="Y51"/>
  <c r="W51"/>
  <c r="Z108"/>
  <c r="X108"/>
  <c r="Y166"/>
  <c r="W166"/>
  <c r="Y50"/>
  <c r="W50"/>
  <c r="Z107"/>
  <c r="X107"/>
  <c r="W165"/>
  <c r="Y165"/>
  <c r="Y49"/>
  <c r="W49"/>
  <c r="Z106"/>
  <c r="X106"/>
  <c r="Y164"/>
  <c r="W164"/>
  <c r="Y48"/>
  <c r="W48"/>
  <c r="X105"/>
  <c r="Z105"/>
  <c r="W163"/>
  <c r="Y163"/>
  <c r="Y47"/>
  <c r="W47"/>
  <c r="Z104"/>
  <c r="X104"/>
  <c r="Y162"/>
  <c r="W162"/>
  <c r="Y46"/>
  <c r="W46"/>
  <c r="Z103"/>
  <c r="X103"/>
  <c r="W161"/>
  <c r="Y161"/>
  <c r="Y45"/>
  <c r="W45"/>
  <c r="M96" i="16"/>
  <c r="N96" s="1"/>
  <c r="S96" s="1"/>
  <c r="T96" s="1"/>
  <c r="M93"/>
  <c r="N93" s="1"/>
  <c r="S93" s="1"/>
  <c r="M91"/>
  <c r="N91" s="1"/>
  <c r="S91" s="1"/>
  <c r="M82"/>
  <c r="N82" s="1"/>
  <c r="S82" s="1"/>
  <c r="M80"/>
  <c r="N80" s="1"/>
  <c r="S80" s="1"/>
  <c r="M77"/>
  <c r="N77" s="1"/>
  <c r="S77" s="1"/>
  <c r="M69"/>
  <c r="N69" s="1"/>
  <c r="S69" s="1"/>
  <c r="M67"/>
  <c r="N67" s="1"/>
  <c r="S67" s="1"/>
  <c r="T67" s="1"/>
  <c r="M63"/>
  <c r="N63" s="1"/>
  <c r="S63" s="1"/>
  <c r="M95"/>
  <c r="N95" s="1"/>
  <c r="S95" s="1"/>
  <c r="M88"/>
  <c r="N88" s="1"/>
  <c r="S88" s="1"/>
  <c r="M86"/>
  <c r="N86" s="1"/>
  <c r="S86" s="1"/>
  <c r="M84"/>
  <c r="N84" s="1"/>
  <c r="S84" s="1"/>
  <c r="M78"/>
  <c r="N78" s="1"/>
  <c r="S78" s="1"/>
  <c r="T78" s="1"/>
  <c r="M75"/>
  <c r="N75" s="1"/>
  <c r="S75" s="1"/>
  <c r="M72"/>
  <c r="N72" s="1"/>
  <c r="S72" s="1"/>
  <c r="M70"/>
  <c r="N70" s="1"/>
  <c r="S70" s="1"/>
  <c r="M64"/>
  <c r="N64" s="1"/>
  <c r="S64" s="1"/>
  <c r="T64" s="1"/>
  <c r="E170"/>
  <c r="E54"/>
  <c r="D112"/>
  <c r="E169"/>
  <c r="E53"/>
  <c r="D111"/>
  <c r="E168"/>
  <c r="E52"/>
  <c r="D110"/>
  <c r="E167"/>
  <c r="E51"/>
  <c r="D109"/>
  <c r="E166"/>
  <c r="E50"/>
  <c r="D108"/>
  <c r="E165"/>
  <c r="E49"/>
  <c r="D107"/>
  <c r="E164"/>
  <c r="E48"/>
  <c r="D106"/>
  <c r="E163"/>
  <c r="E47"/>
  <c r="D105"/>
  <c r="E162"/>
  <c r="E46"/>
  <c r="D104"/>
  <c r="X11" i="11"/>
  <c r="X102"/>
  <c r="Z102"/>
  <c r="Y160"/>
  <c r="W160"/>
  <c r="X101"/>
  <c r="Z101"/>
  <c r="Y159"/>
  <c r="W159"/>
  <c r="X100"/>
  <c r="Z100"/>
  <c r="Y158"/>
  <c r="W158"/>
  <c r="X99"/>
  <c r="Z99"/>
  <c r="Y157"/>
  <c r="W157"/>
  <c r="X98"/>
  <c r="Z98"/>
  <c r="Y156"/>
  <c r="W156"/>
  <c r="X97"/>
  <c r="Z97"/>
  <c r="Y155"/>
  <c r="W155"/>
  <c r="X96"/>
  <c r="Z96"/>
  <c r="Y154"/>
  <c r="W154"/>
  <c r="X95"/>
  <c r="Z95"/>
  <c r="Y153"/>
  <c r="W153"/>
  <c r="X94"/>
  <c r="Z94"/>
  <c r="Y152"/>
  <c r="W152"/>
  <c r="X93"/>
  <c r="Z93"/>
  <c r="W151"/>
  <c r="Y151"/>
  <c r="X92"/>
  <c r="Z92"/>
  <c r="Y150"/>
  <c r="W150"/>
  <c r="X91"/>
  <c r="Z91"/>
  <c r="Y149"/>
  <c r="W149"/>
  <c r="X90"/>
  <c r="Z90"/>
  <c r="Y148"/>
  <c r="W148"/>
  <c r="X89"/>
  <c r="Z89"/>
  <c r="W147"/>
  <c r="Y147"/>
  <c r="X88"/>
  <c r="Z88"/>
  <c r="Y146"/>
  <c r="W146"/>
  <c r="X87"/>
  <c r="Z87"/>
  <c r="Y145"/>
  <c r="W145"/>
  <c r="X86"/>
  <c r="Z86"/>
  <c r="Y144"/>
  <c r="W144"/>
  <c r="X85"/>
  <c r="Z85"/>
  <c r="W143"/>
  <c r="Y143"/>
  <c r="X84"/>
  <c r="Z84"/>
  <c r="Y142"/>
  <c r="W142"/>
  <c r="X83"/>
  <c r="Z83"/>
  <c r="Y141"/>
  <c r="W141"/>
  <c r="X82"/>
  <c r="Z82"/>
  <c r="W140"/>
  <c r="Y140"/>
  <c r="X81"/>
  <c r="Z81"/>
  <c r="W139"/>
  <c r="Y139"/>
  <c r="X80"/>
  <c r="Z80"/>
  <c r="Y138"/>
  <c r="W138"/>
  <c r="X79"/>
  <c r="Z79"/>
  <c r="Y137"/>
  <c r="W137"/>
  <c r="X78"/>
  <c r="Z78"/>
  <c r="Y136"/>
  <c r="W136"/>
  <c r="X77"/>
  <c r="Z77"/>
  <c r="W135"/>
  <c r="Y135"/>
  <c r="X76"/>
  <c r="Z76"/>
  <c r="Y134"/>
  <c r="W134"/>
  <c r="X75"/>
  <c r="Z75"/>
  <c r="Y133"/>
  <c r="W133"/>
  <c r="X74"/>
  <c r="Z74"/>
  <c r="X159"/>
  <c r="Z159"/>
  <c r="Y101"/>
  <c r="W101"/>
  <c r="Z42"/>
  <c r="X42"/>
  <c r="X157"/>
  <c r="Z157"/>
  <c r="Y99"/>
  <c r="W99"/>
  <c r="Z40"/>
  <c r="X40"/>
  <c r="X155"/>
  <c r="Z155"/>
  <c r="Y97"/>
  <c r="W97"/>
  <c r="Z38"/>
  <c r="X38"/>
  <c r="X153"/>
  <c r="Z153"/>
  <c r="Y95"/>
  <c r="W95"/>
  <c r="Z36"/>
  <c r="X36"/>
  <c r="X151"/>
  <c r="Z151"/>
  <c r="W93"/>
  <c r="Y93"/>
  <c r="Z34"/>
  <c r="X34"/>
  <c r="X149"/>
  <c r="Z149"/>
  <c r="Y91"/>
  <c r="W91"/>
  <c r="Z32"/>
  <c r="X32"/>
  <c r="X147"/>
  <c r="Z147"/>
  <c r="W89"/>
  <c r="Y89"/>
  <c r="Z30"/>
  <c r="X30"/>
  <c r="X145"/>
  <c r="Z145"/>
  <c r="Y87"/>
  <c r="W87"/>
  <c r="Z28"/>
  <c r="X28"/>
  <c r="X143"/>
  <c r="Z143"/>
  <c r="W85"/>
  <c r="Y85"/>
  <c r="Z26"/>
  <c r="X26"/>
  <c r="X141"/>
  <c r="Z141"/>
  <c r="Y83"/>
  <c r="W83"/>
  <c r="Z24"/>
  <c r="X24"/>
  <c r="X139"/>
  <c r="Z139"/>
  <c r="W81"/>
  <c r="Y81"/>
  <c r="Z22"/>
  <c r="X22"/>
  <c r="X137"/>
  <c r="Z137"/>
  <c r="Y79"/>
  <c r="W79"/>
  <c r="Z20"/>
  <c r="X20"/>
  <c r="X135"/>
  <c r="Z135"/>
  <c r="W77"/>
  <c r="Y77"/>
  <c r="Z18"/>
  <c r="X18"/>
  <c r="X133"/>
  <c r="Z133"/>
  <c r="Y75"/>
  <c r="W75"/>
  <c r="Y44"/>
  <c r="W44"/>
  <c r="Y43"/>
  <c r="W43"/>
  <c r="Y42"/>
  <c r="W42"/>
  <c r="Y41"/>
  <c r="W41"/>
  <c r="Y40"/>
  <c r="W40"/>
  <c r="Y39"/>
  <c r="W39"/>
  <c r="Y38"/>
  <c r="W38"/>
  <c r="Y37"/>
  <c r="W37"/>
  <c r="Y36"/>
  <c r="W36"/>
  <c r="Y35"/>
  <c r="W35"/>
  <c r="Y34"/>
  <c r="W34"/>
  <c r="Y33"/>
  <c r="W33"/>
  <c r="Y32"/>
  <c r="W32"/>
  <c r="Y31"/>
  <c r="W31"/>
  <c r="Y30"/>
  <c r="W30"/>
  <c r="Y29"/>
  <c r="W29"/>
  <c r="Y28"/>
  <c r="W28"/>
  <c r="Y27"/>
  <c r="W27"/>
  <c r="Y26"/>
  <c r="W26"/>
  <c r="Y25"/>
  <c r="W25"/>
  <c r="Y24"/>
  <c r="W24"/>
  <c r="Y23"/>
  <c r="W23"/>
  <c r="Y22"/>
  <c r="W22"/>
  <c r="Y21"/>
  <c r="W21"/>
  <c r="Y20"/>
  <c r="W20"/>
  <c r="Y19"/>
  <c r="W19"/>
  <c r="Y18"/>
  <c r="W18"/>
  <c r="Y17"/>
  <c r="W17"/>
  <c r="Y102"/>
  <c r="W102"/>
  <c r="Z43"/>
  <c r="X43"/>
  <c r="X158"/>
  <c r="Z158"/>
  <c r="Y100"/>
  <c r="W100"/>
  <c r="Z41"/>
  <c r="X41"/>
  <c r="X156"/>
  <c r="Z156"/>
  <c r="Y98"/>
  <c r="W98"/>
  <c r="Z39"/>
  <c r="X39"/>
  <c r="X154"/>
  <c r="Z154"/>
  <c r="Y96"/>
  <c r="W96"/>
  <c r="Z37"/>
  <c r="X37"/>
  <c r="X152"/>
  <c r="Z152"/>
  <c r="Y94"/>
  <c r="W94"/>
  <c r="Z35"/>
  <c r="X35"/>
  <c r="X150"/>
  <c r="Z150"/>
  <c r="Y92"/>
  <c r="W92"/>
  <c r="Z33"/>
  <c r="X33"/>
  <c r="X148"/>
  <c r="Z148"/>
  <c r="Y90"/>
  <c r="W90"/>
  <c r="Z31"/>
  <c r="X31"/>
  <c r="X146"/>
  <c r="Z146"/>
  <c r="Y88"/>
  <c r="W88"/>
  <c r="Z29"/>
  <c r="X29"/>
  <c r="X144"/>
  <c r="Z144"/>
  <c r="W86"/>
  <c r="Y86"/>
  <c r="Z27"/>
  <c r="X27"/>
  <c r="X142"/>
  <c r="Z142"/>
  <c r="Y84"/>
  <c r="W84"/>
  <c r="Z25"/>
  <c r="X25"/>
  <c r="X140"/>
  <c r="Z140"/>
  <c r="W82"/>
  <c r="Y82"/>
  <c r="Z23"/>
  <c r="X23"/>
  <c r="X138"/>
  <c r="Z138"/>
  <c r="Y80"/>
  <c r="W80"/>
  <c r="Z21"/>
  <c r="X21"/>
  <c r="X136"/>
  <c r="Z136"/>
  <c r="W78"/>
  <c r="Y78"/>
  <c r="Z19"/>
  <c r="X19"/>
  <c r="X134"/>
  <c r="Z134"/>
  <c r="Y76"/>
  <c r="W76"/>
  <c r="Z17"/>
  <c r="X17"/>
  <c r="E30" i="10"/>
  <c r="E31" s="1"/>
  <c r="D30"/>
  <c r="D31" s="1"/>
  <c r="C30"/>
  <c r="B30"/>
  <c r="E17"/>
  <c r="E18" s="1"/>
  <c r="D17"/>
  <c r="D18" s="1"/>
  <c r="C17"/>
  <c r="B17"/>
  <c r="C4"/>
  <c r="B4"/>
  <c r="B5" i="12" s="1"/>
  <c r="D108" i="8"/>
  <c r="C108"/>
  <c r="B108"/>
  <c r="D95"/>
  <c r="C95"/>
  <c r="B95"/>
  <c r="D82"/>
  <c r="C82"/>
  <c r="B82"/>
  <c r="D69"/>
  <c r="C69"/>
  <c r="B69"/>
  <c r="D56"/>
  <c r="C56"/>
  <c r="B56"/>
  <c r="D43"/>
  <c r="C43"/>
  <c r="B43"/>
  <c r="D30"/>
  <c r="C30"/>
  <c r="B30"/>
  <c r="D17"/>
  <c r="C17"/>
  <c r="B17"/>
  <c r="D4"/>
  <c r="C4"/>
  <c r="B4"/>
  <c r="H17" i="1"/>
  <c r="G17"/>
  <c r="F17"/>
  <c r="E17"/>
  <c r="D17"/>
  <c r="C17"/>
  <c r="B17"/>
  <c r="H4"/>
  <c r="G4"/>
  <c r="F4"/>
  <c r="C4"/>
  <c r="T95" i="16" l="1"/>
  <c r="T88"/>
  <c r="T69"/>
  <c r="T5"/>
  <c r="T73"/>
  <c r="T98"/>
  <c r="T72"/>
  <c r="T86"/>
  <c r="T82"/>
  <c r="T102"/>
  <c r="T159"/>
  <c r="T63" i="11"/>
  <c r="T68" i="16"/>
  <c r="T90"/>
  <c r="T156"/>
  <c r="T153"/>
  <c r="T121" i="11"/>
  <c r="T85" i="16"/>
  <c r="T70"/>
  <c r="T84"/>
  <c r="T63"/>
  <c r="T80"/>
  <c r="T99"/>
  <c r="T65"/>
  <c r="T83"/>
  <c r="T66"/>
  <c r="T81"/>
  <c r="T100"/>
  <c r="T158"/>
  <c r="T155"/>
  <c r="T77"/>
  <c r="T93"/>
  <c r="T76"/>
  <c r="T89"/>
  <c r="T79"/>
  <c r="T160"/>
  <c r="T157"/>
  <c r="T75"/>
  <c r="T91"/>
  <c r="T97"/>
  <c r="T87"/>
  <c r="T74"/>
  <c r="T92"/>
  <c r="T148"/>
  <c r="X5"/>
  <c r="X5" i="11"/>
  <c r="W5"/>
  <c r="F19" i="14"/>
  <c r="F7"/>
  <c r="L19"/>
  <c r="F31"/>
  <c r="L7"/>
  <c r="L31"/>
  <c r="F9"/>
  <c r="F33"/>
  <c r="L21"/>
  <c r="L9"/>
  <c r="L33"/>
  <c r="F21"/>
  <c r="F35"/>
  <c r="F23"/>
  <c r="L23"/>
  <c r="F11"/>
  <c r="L11"/>
  <c r="L35"/>
  <c r="B33" i="3"/>
  <c r="B19"/>
  <c r="B5"/>
  <c r="D5" i="8"/>
  <c r="D33" i="3"/>
  <c r="D19"/>
  <c r="D5"/>
  <c r="C18" i="8"/>
  <c r="C34" i="3"/>
  <c r="C20"/>
  <c r="C6"/>
  <c r="B31" i="8"/>
  <c r="B35" i="3"/>
  <c r="B21"/>
  <c r="B7"/>
  <c r="D31" i="8"/>
  <c r="D35" i="3"/>
  <c r="D21"/>
  <c r="D7"/>
  <c r="C44" i="8"/>
  <c r="C36" i="3"/>
  <c r="C22"/>
  <c r="C8"/>
  <c r="B57" i="8"/>
  <c r="B37" i="3"/>
  <c r="B23"/>
  <c r="B9"/>
  <c r="D57" i="8"/>
  <c r="D37" i="3"/>
  <c r="D23"/>
  <c r="D9"/>
  <c r="C70" i="8"/>
  <c r="C38" i="3"/>
  <c r="C24"/>
  <c r="C10"/>
  <c r="B83" i="8"/>
  <c r="B39" i="3"/>
  <c r="B25"/>
  <c r="B11"/>
  <c r="D83" i="8"/>
  <c r="D39" i="3"/>
  <c r="D25"/>
  <c r="D11"/>
  <c r="C96" i="8"/>
  <c r="C40" i="3"/>
  <c r="C26"/>
  <c r="C12"/>
  <c r="B109" i="8"/>
  <c r="B41" i="3"/>
  <c r="B27"/>
  <c r="B13"/>
  <c r="D109" i="8"/>
  <c r="D41" i="3"/>
  <c r="D27"/>
  <c r="D13"/>
  <c r="C5" i="12"/>
  <c r="G5" i="10"/>
  <c r="F5"/>
  <c r="C18"/>
  <c r="C6" i="12"/>
  <c r="G18" i="10"/>
  <c r="L6" i="12" s="1"/>
  <c r="M6" s="1"/>
  <c r="F18" i="10"/>
  <c r="F6" i="12" s="1"/>
  <c r="G6" s="1"/>
  <c r="C31" i="10"/>
  <c r="C7" i="12"/>
  <c r="G31" i="10"/>
  <c r="L7" i="12" s="1"/>
  <c r="M7" s="1"/>
  <c r="F31" i="10"/>
  <c r="F7" i="12" s="1"/>
  <c r="G7" s="1"/>
  <c r="Y45" i="16"/>
  <c r="W45"/>
  <c r="Y46"/>
  <c r="W46"/>
  <c r="Z104"/>
  <c r="X104"/>
  <c r="Y163"/>
  <c r="W163"/>
  <c r="Y48"/>
  <c r="W48"/>
  <c r="Z106"/>
  <c r="X106"/>
  <c r="Y165"/>
  <c r="W165"/>
  <c r="Y50"/>
  <c r="W50"/>
  <c r="Z108"/>
  <c r="X108"/>
  <c r="Y167"/>
  <c r="W167"/>
  <c r="Y52"/>
  <c r="W52"/>
  <c r="Z110"/>
  <c r="X110"/>
  <c r="Y169"/>
  <c r="W169"/>
  <c r="Y54"/>
  <c r="W54"/>
  <c r="Z112"/>
  <c r="X112"/>
  <c r="Z103"/>
  <c r="X103"/>
  <c r="Z45"/>
  <c r="X45"/>
  <c r="Y65"/>
  <c r="W65"/>
  <c r="Y67"/>
  <c r="W67"/>
  <c r="Y69"/>
  <c r="W69"/>
  <c r="Y71"/>
  <c r="W71"/>
  <c r="Y73"/>
  <c r="W73"/>
  <c r="X121"/>
  <c r="Z121"/>
  <c r="Y6"/>
  <c r="W6"/>
  <c r="Z64"/>
  <c r="X64"/>
  <c r="Y123"/>
  <c r="W123"/>
  <c r="Y8"/>
  <c r="W8"/>
  <c r="Z66"/>
  <c r="X66"/>
  <c r="Y125"/>
  <c r="W125"/>
  <c r="Y10"/>
  <c r="W10"/>
  <c r="Z68"/>
  <c r="X68"/>
  <c r="Y127"/>
  <c r="W127"/>
  <c r="Y12"/>
  <c r="W12"/>
  <c r="Z70"/>
  <c r="X70"/>
  <c r="Y129"/>
  <c r="W129"/>
  <c r="Y14"/>
  <c r="W14"/>
  <c r="Z72"/>
  <c r="X72"/>
  <c r="Y131"/>
  <c r="W131"/>
  <c r="Y16"/>
  <c r="W16"/>
  <c r="W17"/>
  <c r="Y17"/>
  <c r="Y18"/>
  <c r="W18"/>
  <c r="W19"/>
  <c r="Y19"/>
  <c r="Y20"/>
  <c r="W20"/>
  <c r="W21"/>
  <c r="Y21"/>
  <c r="Y22"/>
  <c r="W22"/>
  <c r="W23"/>
  <c r="Y23"/>
  <c r="Y24"/>
  <c r="W24"/>
  <c r="W25"/>
  <c r="Y25"/>
  <c r="Y26"/>
  <c r="W26"/>
  <c r="W27"/>
  <c r="Y27"/>
  <c r="Y28"/>
  <c r="W28"/>
  <c r="W29"/>
  <c r="Y29"/>
  <c r="Y30"/>
  <c r="W30"/>
  <c r="W31"/>
  <c r="Y31"/>
  <c r="Y32"/>
  <c r="W32"/>
  <c r="W33"/>
  <c r="Y33"/>
  <c r="W34"/>
  <c r="Y34"/>
  <c r="Y35"/>
  <c r="W35"/>
  <c r="Y36"/>
  <c r="W36"/>
  <c r="Y64"/>
  <c r="W64"/>
  <c r="Y66"/>
  <c r="W66"/>
  <c r="Y68"/>
  <c r="W68"/>
  <c r="Y70"/>
  <c r="W70"/>
  <c r="Y72"/>
  <c r="W72"/>
  <c r="Y74"/>
  <c r="W74"/>
  <c r="Z122"/>
  <c r="X122"/>
  <c r="Z124"/>
  <c r="X124"/>
  <c r="Z126"/>
  <c r="X126"/>
  <c r="Z128"/>
  <c r="X128"/>
  <c r="Z130"/>
  <c r="X130"/>
  <c r="Z132"/>
  <c r="X132"/>
  <c r="Z160"/>
  <c r="X160"/>
  <c r="Z42"/>
  <c r="X42"/>
  <c r="Y101"/>
  <c r="W101"/>
  <c r="Z159"/>
  <c r="X159"/>
  <c r="X63"/>
  <c r="Z63"/>
  <c r="C5" i="10"/>
  <c r="L6" i="14"/>
  <c r="L30"/>
  <c r="F6"/>
  <c r="F30"/>
  <c r="L18"/>
  <c r="F18"/>
  <c r="L8"/>
  <c r="L32"/>
  <c r="F8"/>
  <c r="F32"/>
  <c r="L20"/>
  <c r="F20"/>
  <c r="F22"/>
  <c r="L10"/>
  <c r="L34"/>
  <c r="F10"/>
  <c r="F34"/>
  <c r="L22"/>
  <c r="B18" i="1"/>
  <c r="B20" i="2"/>
  <c r="B13"/>
  <c r="B6"/>
  <c r="I18" i="1"/>
  <c r="E6" i="2" s="1"/>
  <c r="F6" s="1"/>
  <c r="K18" i="1"/>
  <c r="E20" i="2" s="1"/>
  <c r="F20" s="1"/>
  <c r="L18" i="1"/>
  <c r="K6" i="2" s="1"/>
  <c r="L6" s="1"/>
  <c r="N18" i="1"/>
  <c r="K20" i="2" s="1"/>
  <c r="L20" s="1"/>
  <c r="J18" i="1"/>
  <c r="E13" i="2" s="1"/>
  <c r="F13" s="1"/>
  <c r="M18" i="1"/>
  <c r="K13" i="2" s="1"/>
  <c r="L13" s="1"/>
  <c r="G18" i="1"/>
  <c r="E18"/>
  <c r="C18"/>
  <c r="H18"/>
  <c r="F18"/>
  <c r="D18"/>
  <c r="C33" i="3"/>
  <c r="C19"/>
  <c r="C5"/>
  <c r="B18" i="8"/>
  <c r="B34" i="3"/>
  <c r="B20"/>
  <c r="B6"/>
  <c r="D18" i="8"/>
  <c r="D34" i="3"/>
  <c r="D20"/>
  <c r="D6"/>
  <c r="C31" i="8"/>
  <c r="C35" i="3"/>
  <c r="C21"/>
  <c r="C7"/>
  <c r="B44" i="8"/>
  <c r="B36" i="3"/>
  <c r="B22"/>
  <c r="B8"/>
  <c r="D44" i="8"/>
  <c r="D36" i="3"/>
  <c r="D22"/>
  <c r="D8"/>
  <c r="C57" i="8"/>
  <c r="C37" i="3"/>
  <c r="C23"/>
  <c r="C9"/>
  <c r="B70" i="8"/>
  <c r="B38" i="3"/>
  <c r="B24"/>
  <c r="B10"/>
  <c r="D70" i="8"/>
  <c r="D38" i="3"/>
  <c r="D24"/>
  <c r="D10"/>
  <c r="C83" i="8"/>
  <c r="C39" i="3"/>
  <c r="C25"/>
  <c r="C11"/>
  <c r="B96" i="8"/>
  <c r="B40" i="3"/>
  <c r="B26"/>
  <c r="B12"/>
  <c r="D96" i="8"/>
  <c r="D40" i="3"/>
  <c r="D26"/>
  <c r="D12"/>
  <c r="C109" i="8"/>
  <c r="C41" i="3"/>
  <c r="C27"/>
  <c r="C13"/>
  <c r="B18" i="10"/>
  <c r="B6" i="12"/>
  <c r="B31" i="10"/>
  <c r="B7" i="12"/>
  <c r="Y104" i="16"/>
  <c r="W104"/>
  <c r="Z46"/>
  <c r="X46"/>
  <c r="Z162"/>
  <c r="X162"/>
  <c r="Y105"/>
  <c r="W105"/>
  <c r="Z47"/>
  <c r="X47"/>
  <c r="Z163"/>
  <c r="X163"/>
  <c r="Y106"/>
  <c r="W106"/>
  <c r="Z48"/>
  <c r="X48"/>
  <c r="Z164"/>
  <c r="X164"/>
  <c r="Y107"/>
  <c r="W107"/>
  <c r="Z49"/>
  <c r="X49"/>
  <c r="Z165"/>
  <c r="X165"/>
  <c r="Y108"/>
  <c r="W108"/>
  <c r="Z50"/>
  <c r="X50"/>
  <c r="Z166"/>
  <c r="X166"/>
  <c r="Y109"/>
  <c r="W109"/>
  <c r="Z51"/>
  <c r="X51"/>
  <c r="Z167"/>
  <c r="X167"/>
  <c r="Y110"/>
  <c r="W110"/>
  <c r="Z52"/>
  <c r="X52"/>
  <c r="Z168"/>
  <c r="X168"/>
  <c r="Y111"/>
  <c r="W111"/>
  <c r="Z53"/>
  <c r="X53"/>
  <c r="Z169"/>
  <c r="X169"/>
  <c r="Y112"/>
  <c r="W112"/>
  <c r="Z54"/>
  <c r="X54"/>
  <c r="Z170"/>
  <c r="X170"/>
  <c r="W63"/>
  <c r="Y63"/>
  <c r="X123"/>
  <c r="Z123"/>
  <c r="X125"/>
  <c r="Z125"/>
  <c r="X127"/>
  <c r="Z127"/>
  <c r="X129"/>
  <c r="Z129"/>
  <c r="X131"/>
  <c r="Z131"/>
  <c r="Z44"/>
  <c r="X44"/>
  <c r="Z158"/>
  <c r="X158"/>
  <c r="Z43"/>
  <c r="X43"/>
  <c r="Y75"/>
  <c r="W75"/>
  <c r="X133"/>
  <c r="Z133"/>
  <c r="Z18"/>
  <c r="X18"/>
  <c r="Y77"/>
  <c r="W77"/>
  <c r="X135"/>
  <c r="Z135"/>
  <c r="Z20"/>
  <c r="X20"/>
  <c r="Y79"/>
  <c r="W79"/>
  <c r="Z137"/>
  <c r="X137"/>
  <c r="Z22"/>
  <c r="X22"/>
  <c r="Y81"/>
  <c r="W81"/>
  <c r="Z139"/>
  <c r="X139"/>
  <c r="Z24"/>
  <c r="X24"/>
  <c r="Y83"/>
  <c r="W83"/>
  <c r="Z141"/>
  <c r="X141"/>
  <c r="Z26"/>
  <c r="X26"/>
  <c r="Y85"/>
  <c r="W85"/>
  <c r="Z143"/>
  <c r="X143"/>
  <c r="Z28"/>
  <c r="X28"/>
  <c r="Y87"/>
  <c r="W87"/>
  <c r="Z145"/>
  <c r="X145"/>
  <c r="Z30"/>
  <c r="X30"/>
  <c r="Y89"/>
  <c r="W89"/>
  <c r="Z147"/>
  <c r="X147"/>
  <c r="Z32"/>
  <c r="X32"/>
  <c r="Y91"/>
  <c r="W91"/>
  <c r="Z149"/>
  <c r="X149"/>
  <c r="Z34"/>
  <c r="X34"/>
  <c r="W93"/>
  <c r="Y93"/>
  <c r="Z151"/>
  <c r="X151"/>
  <c r="Z36"/>
  <c r="X36"/>
  <c r="W95"/>
  <c r="Y95"/>
  <c r="X153"/>
  <c r="Z153"/>
  <c r="Z38"/>
  <c r="X38"/>
  <c r="Y97"/>
  <c r="W97"/>
  <c r="Z155"/>
  <c r="X155"/>
  <c r="Z40"/>
  <c r="X40"/>
  <c r="Y99"/>
  <c r="W99"/>
  <c r="Z157"/>
  <c r="X157"/>
  <c r="Y102"/>
  <c r="W102"/>
  <c r="W121"/>
  <c r="Y121"/>
  <c r="Y161"/>
  <c r="W161"/>
  <c r="Y162"/>
  <c r="W162"/>
  <c r="Y47"/>
  <c r="W47"/>
  <c r="Z105"/>
  <c r="X105"/>
  <c r="Y164"/>
  <c r="W164"/>
  <c r="Y49"/>
  <c r="W49"/>
  <c r="Z107"/>
  <c r="X107"/>
  <c r="Y166"/>
  <c r="W166"/>
  <c r="Y51"/>
  <c r="W51"/>
  <c r="Z109"/>
  <c r="X109"/>
  <c r="Y168"/>
  <c r="W168"/>
  <c r="Y53"/>
  <c r="W53"/>
  <c r="Z111"/>
  <c r="X111"/>
  <c r="Y170"/>
  <c r="W170"/>
  <c r="Y103"/>
  <c r="W103"/>
  <c r="Z161"/>
  <c r="X161"/>
  <c r="X17"/>
  <c r="Z17"/>
  <c r="Y76"/>
  <c r="W76"/>
  <c r="Z134"/>
  <c r="X134"/>
  <c r="X19"/>
  <c r="Z19"/>
  <c r="Y78"/>
  <c r="W78"/>
  <c r="Z136"/>
  <c r="X136"/>
  <c r="X21"/>
  <c r="Z21"/>
  <c r="Y80"/>
  <c r="W80"/>
  <c r="Z138"/>
  <c r="X138"/>
  <c r="X23"/>
  <c r="Z23"/>
  <c r="Y82"/>
  <c r="W82"/>
  <c r="X140"/>
  <c r="Z140"/>
  <c r="X25"/>
  <c r="Z25"/>
  <c r="Y84"/>
  <c r="W84"/>
  <c r="Z142"/>
  <c r="X142"/>
  <c r="X27"/>
  <c r="Z27"/>
  <c r="Y86"/>
  <c r="W86"/>
  <c r="X144"/>
  <c r="Z144"/>
  <c r="X29"/>
  <c r="Z29"/>
  <c r="Y88"/>
  <c r="W88"/>
  <c r="Z146"/>
  <c r="X146"/>
  <c r="Z31"/>
  <c r="X31"/>
  <c r="Y90"/>
  <c r="W90"/>
  <c r="Z148"/>
  <c r="X148"/>
  <c r="Z33"/>
  <c r="X33"/>
  <c r="Y92"/>
  <c r="W92"/>
  <c r="Z150"/>
  <c r="X150"/>
  <c r="Z35"/>
  <c r="X35"/>
  <c r="Y94"/>
  <c r="W94"/>
  <c r="Z152"/>
  <c r="X152"/>
  <c r="Z37"/>
  <c r="X37"/>
  <c r="Y96"/>
  <c r="W96"/>
  <c r="Z154"/>
  <c r="X154"/>
  <c r="Z39"/>
  <c r="X39"/>
  <c r="Y98"/>
  <c r="W98"/>
  <c r="Z156"/>
  <c r="X156"/>
  <c r="Z41"/>
  <c r="X41"/>
  <c r="Y100"/>
  <c r="W100"/>
  <c r="Y37"/>
  <c r="W37"/>
  <c r="Y38"/>
  <c r="W38"/>
  <c r="Y39"/>
  <c r="W39"/>
  <c r="Y40"/>
  <c r="W40"/>
  <c r="Y41"/>
  <c r="W41"/>
  <c r="Y42"/>
  <c r="W42"/>
  <c r="Y43"/>
  <c r="W43"/>
  <c r="Y44"/>
  <c r="W44"/>
  <c r="Z89"/>
  <c r="X89"/>
  <c r="Y148"/>
  <c r="W148"/>
  <c r="Z92"/>
  <c r="X92"/>
  <c r="Y151"/>
  <c r="W151"/>
  <c r="X95"/>
  <c r="Z95"/>
  <c r="Y154"/>
  <c r="W154"/>
  <c r="Z97"/>
  <c r="X97"/>
  <c r="Y156"/>
  <c r="W156"/>
  <c r="Z99"/>
  <c r="X99"/>
  <c r="Y158"/>
  <c r="W158"/>
  <c r="Z101"/>
  <c r="X101"/>
  <c r="Y160"/>
  <c r="W160"/>
  <c r="W5"/>
  <c r="Y5"/>
  <c r="Y122"/>
  <c r="W122"/>
  <c r="W7"/>
  <c r="Y7"/>
  <c r="Z65"/>
  <c r="X65"/>
  <c r="Y124"/>
  <c r="W124"/>
  <c r="W9"/>
  <c r="Y9"/>
  <c r="Z67"/>
  <c r="X67"/>
  <c r="Y126"/>
  <c r="W126"/>
  <c r="W11"/>
  <c r="Y11"/>
  <c r="Z69"/>
  <c r="X69"/>
  <c r="Y128"/>
  <c r="W128"/>
  <c r="W13"/>
  <c r="Y13"/>
  <c r="Z71"/>
  <c r="X71"/>
  <c r="Y130"/>
  <c r="W130"/>
  <c r="W15"/>
  <c r="Y15"/>
  <c r="Z73"/>
  <c r="X73"/>
  <c r="Y132"/>
  <c r="W132"/>
  <c r="Z74"/>
  <c r="X74"/>
  <c r="Y133"/>
  <c r="W133"/>
  <c r="Z75"/>
  <c r="X75"/>
  <c r="Y134"/>
  <c r="W134"/>
  <c r="Z76"/>
  <c r="X76"/>
  <c r="Y135"/>
  <c r="W135"/>
  <c r="Z77"/>
  <c r="X77"/>
  <c r="Y136"/>
  <c r="W136"/>
  <c r="Z78"/>
  <c r="X78"/>
  <c r="Y137"/>
  <c r="W137"/>
  <c r="Z79"/>
  <c r="X79"/>
  <c r="W138"/>
  <c r="Y138"/>
  <c r="Z80"/>
  <c r="X80"/>
  <c r="Y139"/>
  <c r="W139"/>
  <c r="Z81"/>
  <c r="X81"/>
  <c r="W140"/>
  <c r="Y140"/>
  <c r="Z82"/>
  <c r="X82"/>
  <c r="Y141"/>
  <c r="W141"/>
  <c r="Z83"/>
  <c r="X83"/>
  <c r="Y142"/>
  <c r="W142"/>
  <c r="Z84"/>
  <c r="X84"/>
  <c r="Y143"/>
  <c r="W143"/>
  <c r="Z85"/>
  <c r="X85"/>
  <c r="Y144"/>
  <c r="W144"/>
  <c r="Z86"/>
  <c r="X86"/>
  <c r="Y145"/>
  <c r="W145"/>
  <c r="Z87"/>
  <c r="X87"/>
  <c r="Y146"/>
  <c r="W146"/>
  <c r="Z88"/>
  <c r="X88"/>
  <c r="Y147"/>
  <c r="W147"/>
  <c r="Z90"/>
  <c r="X90"/>
  <c r="Y149"/>
  <c r="W149"/>
  <c r="Z91"/>
  <c r="X91"/>
  <c r="Y150"/>
  <c r="W150"/>
  <c r="Z93"/>
  <c r="X93"/>
  <c r="Y152"/>
  <c r="W152"/>
  <c r="Z94"/>
  <c r="X94"/>
  <c r="W153"/>
  <c r="Y153"/>
  <c r="Z96"/>
  <c r="X96"/>
  <c r="Y155"/>
  <c r="W155"/>
  <c r="Z98"/>
  <c r="X98"/>
  <c r="Y157"/>
  <c r="W157"/>
  <c r="Z100"/>
  <c r="X100"/>
  <c r="Y159"/>
  <c r="W159"/>
  <c r="Z102"/>
  <c r="X102"/>
  <c r="B5" i="10"/>
  <c r="C5" i="2"/>
  <c r="C12"/>
  <c r="B5" i="8"/>
  <c r="C5"/>
  <c r="G20" i="2" l="1"/>
  <c r="I6"/>
  <c r="M6"/>
  <c r="M20"/>
  <c r="G6"/>
  <c r="G13"/>
  <c r="O6"/>
  <c r="M13"/>
  <c r="I20"/>
  <c r="O20"/>
  <c r="I34" i="14"/>
  <c r="O34"/>
  <c r="I20"/>
  <c r="O20"/>
  <c r="O8"/>
  <c r="G32"/>
  <c r="G20"/>
  <c r="I8"/>
  <c r="M32"/>
  <c r="G8"/>
  <c r="M20"/>
  <c r="M8"/>
  <c r="O30"/>
  <c r="I30"/>
  <c r="J7" i="12"/>
  <c r="K7" s="1"/>
  <c r="P7"/>
  <c r="Q7" s="1"/>
  <c r="P6"/>
  <c r="Q6" s="1"/>
  <c r="J6"/>
  <c r="K6" s="1"/>
  <c r="J5"/>
  <c r="P5"/>
  <c r="G35" i="14"/>
  <c r="I11"/>
  <c r="G23"/>
  <c r="G11"/>
  <c r="M11"/>
  <c r="M35"/>
  <c r="M23"/>
  <c r="O11"/>
  <c r="I33"/>
  <c r="O33"/>
  <c r="O21"/>
  <c r="I21"/>
  <c r="G7"/>
  <c r="G31"/>
  <c r="I7"/>
  <c r="M7"/>
  <c r="G19"/>
  <c r="M31"/>
  <c r="M19"/>
  <c r="O7"/>
  <c r="O13" i="2"/>
  <c r="I13"/>
  <c r="I22" i="14"/>
  <c r="O22"/>
  <c r="O10"/>
  <c r="G10"/>
  <c r="G34"/>
  <c r="G22"/>
  <c r="I10"/>
  <c r="M34"/>
  <c r="P34" s="1"/>
  <c r="M22"/>
  <c r="M10"/>
  <c r="O32"/>
  <c r="I32"/>
  <c r="J32" s="1"/>
  <c r="O18"/>
  <c r="I18"/>
  <c r="I6"/>
  <c r="G30"/>
  <c r="M6"/>
  <c r="G18"/>
  <c r="O6"/>
  <c r="G6"/>
  <c r="M18"/>
  <c r="P18" s="1"/>
  <c r="M30"/>
  <c r="W38" i="3"/>
  <c r="W34"/>
  <c r="W26"/>
  <c r="W22"/>
  <c r="W19"/>
  <c r="W10"/>
  <c r="W6"/>
  <c r="W41"/>
  <c r="W37"/>
  <c r="W27"/>
  <c r="W23"/>
  <c r="W13"/>
  <c r="W9"/>
  <c r="W40"/>
  <c r="W36"/>
  <c r="W33"/>
  <c r="W24"/>
  <c r="W20"/>
  <c r="W12"/>
  <c r="W8"/>
  <c r="W5"/>
  <c r="W39"/>
  <c r="W35"/>
  <c r="W25"/>
  <c r="W21"/>
  <c r="W11"/>
  <c r="W7"/>
  <c r="I35" i="14"/>
  <c r="O35"/>
  <c r="O23"/>
  <c r="I23"/>
  <c r="G33"/>
  <c r="I9"/>
  <c r="M9"/>
  <c r="G21"/>
  <c r="G9"/>
  <c r="O9"/>
  <c r="M33"/>
  <c r="P33" s="1"/>
  <c r="M21"/>
  <c r="I31"/>
  <c r="O31"/>
  <c r="I19"/>
  <c r="O19"/>
  <c r="F9" i="8"/>
  <c r="E4" i="10"/>
  <c r="E5" s="1"/>
  <c r="D4"/>
  <c r="D5" s="1"/>
  <c r="J20" i="2" l="1"/>
  <c r="Q18" i="14"/>
  <c r="R7" i="12"/>
  <c r="S7"/>
  <c r="R6"/>
  <c r="S6"/>
  <c r="Q33" i="14"/>
  <c r="Q34"/>
  <c r="J19"/>
  <c r="P9"/>
  <c r="J35"/>
  <c r="P10"/>
  <c r="J13" i="2"/>
  <c r="J30" i="14"/>
  <c r="J10"/>
  <c r="J8"/>
  <c r="J21"/>
  <c r="J20"/>
  <c r="J33"/>
  <c r="R33" s="1"/>
  <c r="P30"/>
  <c r="P7"/>
  <c r="J11"/>
  <c r="P31"/>
  <c r="P13" i="2"/>
  <c r="P20"/>
  <c r="J7" i="14"/>
  <c r="P11"/>
  <c r="J18"/>
  <c r="R18" s="1"/>
  <c r="P35"/>
  <c r="J9"/>
  <c r="J6"/>
  <c r="J31"/>
  <c r="J22"/>
  <c r="P20"/>
  <c r="P8"/>
  <c r="J6" i="2"/>
  <c r="P21" i="14"/>
  <c r="J23"/>
  <c r="P32"/>
  <c r="J34"/>
  <c r="R34" s="1"/>
  <c r="P22"/>
  <c r="P19"/>
  <c r="P23"/>
  <c r="P6" i="2"/>
  <c r="P6" i="14"/>
  <c r="F119" i="8"/>
  <c r="E119"/>
  <c r="F118"/>
  <c r="E118"/>
  <c r="F117"/>
  <c r="E117"/>
  <c r="F116"/>
  <c r="E116"/>
  <c r="F115"/>
  <c r="E115"/>
  <c r="F114"/>
  <c r="E114"/>
  <c r="F113"/>
  <c r="E113"/>
  <c r="F112"/>
  <c r="E112"/>
  <c r="F111"/>
  <c r="E111"/>
  <c r="F110"/>
  <c r="E110"/>
  <c r="F106"/>
  <c r="E106"/>
  <c r="F105"/>
  <c r="E105"/>
  <c r="F104"/>
  <c r="E104"/>
  <c r="F103"/>
  <c r="E103"/>
  <c r="F102"/>
  <c r="E102"/>
  <c r="F101"/>
  <c r="E101"/>
  <c r="F100"/>
  <c r="E100"/>
  <c r="F99"/>
  <c r="E99"/>
  <c r="F98"/>
  <c r="E98"/>
  <c r="F97"/>
  <c r="E97"/>
  <c r="F93"/>
  <c r="E93"/>
  <c r="F92"/>
  <c r="E92"/>
  <c r="F91"/>
  <c r="E91"/>
  <c r="F90"/>
  <c r="E90"/>
  <c r="F89"/>
  <c r="E89"/>
  <c r="F88"/>
  <c r="E88"/>
  <c r="F87"/>
  <c r="E87"/>
  <c r="F86"/>
  <c r="E86"/>
  <c r="F85"/>
  <c r="E85"/>
  <c r="F84"/>
  <c r="E84"/>
  <c r="F80"/>
  <c r="E80"/>
  <c r="F79"/>
  <c r="E79"/>
  <c r="F78"/>
  <c r="E78"/>
  <c r="F77"/>
  <c r="E77"/>
  <c r="F76"/>
  <c r="E76"/>
  <c r="F75"/>
  <c r="E75"/>
  <c r="F74"/>
  <c r="E74"/>
  <c r="F73"/>
  <c r="E73"/>
  <c r="F72"/>
  <c r="E72"/>
  <c r="F71"/>
  <c r="E71"/>
  <c r="F67"/>
  <c r="E67"/>
  <c r="F66"/>
  <c r="E66"/>
  <c r="F65"/>
  <c r="E65"/>
  <c r="F64"/>
  <c r="E64"/>
  <c r="F63"/>
  <c r="E63"/>
  <c r="F62"/>
  <c r="E62"/>
  <c r="F61"/>
  <c r="E61"/>
  <c r="F60"/>
  <c r="E60"/>
  <c r="F59"/>
  <c r="E59"/>
  <c r="F58"/>
  <c r="E58"/>
  <c r="F54"/>
  <c r="E54"/>
  <c r="F53"/>
  <c r="E53"/>
  <c r="F52"/>
  <c r="E52"/>
  <c r="F51"/>
  <c r="E51"/>
  <c r="F50"/>
  <c r="E50"/>
  <c r="F49"/>
  <c r="E49"/>
  <c r="F48"/>
  <c r="E48"/>
  <c r="F47"/>
  <c r="E47"/>
  <c r="F46"/>
  <c r="E46"/>
  <c r="F45"/>
  <c r="E45"/>
  <c r="F41"/>
  <c r="E41"/>
  <c r="F40"/>
  <c r="E40"/>
  <c r="F39"/>
  <c r="E39"/>
  <c r="F38"/>
  <c r="E38"/>
  <c r="F37"/>
  <c r="E37"/>
  <c r="F36"/>
  <c r="E36"/>
  <c r="F35"/>
  <c r="E35"/>
  <c r="F34"/>
  <c r="E34"/>
  <c r="F33"/>
  <c r="E33"/>
  <c r="F32"/>
  <c r="E32"/>
  <c r="F28"/>
  <c r="E28"/>
  <c r="F27"/>
  <c r="E27"/>
  <c r="F26"/>
  <c r="E26"/>
  <c r="F25"/>
  <c r="E25"/>
  <c r="F24"/>
  <c r="E24"/>
  <c r="F23"/>
  <c r="E23"/>
  <c r="F22"/>
  <c r="E22"/>
  <c r="F21"/>
  <c r="E21"/>
  <c r="F20"/>
  <c r="E20"/>
  <c r="F19"/>
  <c r="E19"/>
  <c r="F15"/>
  <c r="E15"/>
  <c r="F14"/>
  <c r="E14"/>
  <c r="F13"/>
  <c r="E13"/>
  <c r="F12"/>
  <c r="E12"/>
  <c r="F11"/>
  <c r="E11"/>
  <c r="F10"/>
  <c r="E10"/>
  <c r="E9"/>
  <c r="F8"/>
  <c r="E8"/>
  <c r="F7"/>
  <c r="E7"/>
  <c r="F6"/>
  <c r="E6"/>
  <c r="Q6" i="2" l="1"/>
  <c r="R6"/>
  <c r="Q30" i="14"/>
  <c r="R30"/>
  <c r="Q23"/>
  <c r="R23"/>
  <c r="Q32"/>
  <c r="R32"/>
  <c r="Q8"/>
  <c r="R8"/>
  <c r="Q11"/>
  <c r="R11"/>
  <c r="Q31"/>
  <c r="R31"/>
  <c r="Q13" i="2"/>
  <c r="R13"/>
  <c r="Q10" i="14"/>
  <c r="R10"/>
  <c r="Q6"/>
  <c r="R6"/>
  <c r="Q22"/>
  <c r="R22"/>
  <c r="Q21"/>
  <c r="R21"/>
  <c r="Q35"/>
  <c r="R35"/>
  <c r="Q20" i="2"/>
  <c r="R20"/>
  <c r="Q7" i="14"/>
  <c r="R7"/>
  <c r="Q19"/>
  <c r="R19"/>
  <c r="Q20"/>
  <c r="R20"/>
  <c r="Q9"/>
  <c r="R9"/>
  <c r="F30" i="8"/>
  <c r="F7" i="3" s="1"/>
  <c r="F82" i="8"/>
  <c r="F39" i="3" s="1"/>
  <c r="F108" i="8"/>
  <c r="E109" s="1"/>
  <c r="F17"/>
  <c r="G18" s="1"/>
  <c r="F43"/>
  <c r="E44" s="1"/>
  <c r="F69"/>
  <c r="I70" s="1"/>
  <c r="F95"/>
  <c r="L96" s="1"/>
  <c r="F56"/>
  <c r="E57" s="1"/>
  <c r="Q6"/>
  <c r="O6"/>
  <c r="R6"/>
  <c r="P6"/>
  <c r="N6"/>
  <c r="E4"/>
  <c r="Q7"/>
  <c r="O7"/>
  <c r="M7"/>
  <c r="R7"/>
  <c r="P7"/>
  <c r="N7"/>
  <c r="Q8"/>
  <c r="O8"/>
  <c r="M8"/>
  <c r="R8"/>
  <c r="P8"/>
  <c r="N8"/>
  <c r="Q9"/>
  <c r="O9"/>
  <c r="M9"/>
  <c r="R9"/>
  <c r="P9"/>
  <c r="N9"/>
  <c r="E70"/>
  <c r="F10" i="3"/>
  <c r="G70" i="8"/>
  <c r="J70"/>
  <c r="F70"/>
  <c r="F25" i="3"/>
  <c r="J83" i="8"/>
  <c r="E96"/>
  <c r="F41" i="3"/>
  <c r="Q10" i="8"/>
  <c r="O10"/>
  <c r="M10"/>
  <c r="R10"/>
  <c r="P10"/>
  <c r="N10"/>
  <c r="Q11"/>
  <c r="O11"/>
  <c r="M11"/>
  <c r="R11"/>
  <c r="P11"/>
  <c r="N11"/>
  <c r="Q12"/>
  <c r="O12"/>
  <c r="M12"/>
  <c r="R12"/>
  <c r="P12"/>
  <c r="N12"/>
  <c r="Q13"/>
  <c r="O13"/>
  <c r="M13"/>
  <c r="R13"/>
  <c r="P13"/>
  <c r="N13"/>
  <c r="Q14"/>
  <c r="O14"/>
  <c r="M14"/>
  <c r="R14"/>
  <c r="P14"/>
  <c r="N14"/>
  <c r="Q15"/>
  <c r="O15"/>
  <c r="M15"/>
  <c r="R15"/>
  <c r="P15"/>
  <c r="N15"/>
  <c r="Q19"/>
  <c r="O19"/>
  <c r="M19"/>
  <c r="R19"/>
  <c r="P19"/>
  <c r="N19"/>
  <c r="E17"/>
  <c r="Q20"/>
  <c r="O20"/>
  <c r="M20"/>
  <c r="R20"/>
  <c r="P20"/>
  <c r="N20"/>
  <c r="Q21"/>
  <c r="O21"/>
  <c r="M21"/>
  <c r="R21"/>
  <c r="P21"/>
  <c r="N21"/>
  <c r="Q22"/>
  <c r="O22"/>
  <c r="M22"/>
  <c r="R22"/>
  <c r="P22"/>
  <c r="N22"/>
  <c r="Q23"/>
  <c r="O23"/>
  <c r="M23"/>
  <c r="R23"/>
  <c r="P23"/>
  <c r="N23"/>
  <c r="Q24"/>
  <c r="O24"/>
  <c r="M24"/>
  <c r="R24"/>
  <c r="P24"/>
  <c r="N24"/>
  <c r="Q25"/>
  <c r="O25"/>
  <c r="M25"/>
  <c r="R25"/>
  <c r="P25"/>
  <c r="N25"/>
  <c r="Q26"/>
  <c r="O26"/>
  <c r="M26"/>
  <c r="R26"/>
  <c r="P26"/>
  <c r="N26"/>
  <c r="Q27"/>
  <c r="O27"/>
  <c r="M27"/>
  <c r="R27"/>
  <c r="P27"/>
  <c r="N27"/>
  <c r="Q28"/>
  <c r="O28"/>
  <c r="M28"/>
  <c r="R28"/>
  <c r="P28"/>
  <c r="N28"/>
  <c r="Q32"/>
  <c r="O32"/>
  <c r="M32"/>
  <c r="R32"/>
  <c r="P32"/>
  <c r="N32"/>
  <c r="E30"/>
  <c r="Q33"/>
  <c r="O33"/>
  <c r="M33"/>
  <c r="R33"/>
  <c r="P33"/>
  <c r="N33"/>
  <c r="Q34"/>
  <c r="O34"/>
  <c r="M34"/>
  <c r="R34"/>
  <c r="P34"/>
  <c r="N34"/>
  <c r="Q35"/>
  <c r="O35"/>
  <c r="M35"/>
  <c r="R35"/>
  <c r="P35"/>
  <c r="N35"/>
  <c r="Q36"/>
  <c r="O36"/>
  <c r="M36"/>
  <c r="R36"/>
  <c r="P36"/>
  <c r="N36"/>
  <c r="Q37"/>
  <c r="O37"/>
  <c r="M37"/>
  <c r="R37"/>
  <c r="P37"/>
  <c r="N37"/>
  <c r="Q38"/>
  <c r="O38"/>
  <c r="M38"/>
  <c r="R38"/>
  <c r="P38"/>
  <c r="N38"/>
  <c r="Q39"/>
  <c r="O39"/>
  <c r="M39"/>
  <c r="R39"/>
  <c r="P39"/>
  <c r="N39"/>
  <c r="Q40"/>
  <c r="O40"/>
  <c r="M40"/>
  <c r="R40"/>
  <c r="P40"/>
  <c r="N40"/>
  <c r="Q41"/>
  <c r="O41"/>
  <c r="M41"/>
  <c r="R41"/>
  <c r="P41"/>
  <c r="N41"/>
  <c r="Q45"/>
  <c r="O45"/>
  <c r="M45"/>
  <c r="R45"/>
  <c r="P45"/>
  <c r="N45"/>
  <c r="E43"/>
  <c r="Q46"/>
  <c r="O46"/>
  <c r="M46"/>
  <c r="R46"/>
  <c r="P46"/>
  <c r="N46"/>
  <c r="Q47"/>
  <c r="O47"/>
  <c r="M47"/>
  <c r="R47"/>
  <c r="P47"/>
  <c r="N47"/>
  <c r="R48"/>
  <c r="Q48"/>
  <c r="O48"/>
  <c r="M48"/>
  <c r="P48"/>
  <c r="N48"/>
  <c r="R49"/>
  <c r="P49"/>
  <c r="N49"/>
  <c r="O49"/>
  <c r="Q49"/>
  <c r="M49"/>
  <c r="Q50"/>
  <c r="R50"/>
  <c r="P50"/>
  <c r="N50"/>
  <c r="M50"/>
  <c r="O50"/>
  <c r="Q51"/>
  <c r="O51"/>
  <c r="M51"/>
  <c r="R51"/>
  <c r="P51"/>
  <c r="N51"/>
  <c r="Q52"/>
  <c r="O52"/>
  <c r="M52"/>
  <c r="R52"/>
  <c r="P52"/>
  <c r="N52"/>
  <c r="Q53"/>
  <c r="O53"/>
  <c r="M53"/>
  <c r="R53"/>
  <c r="P53"/>
  <c r="N53"/>
  <c r="Q54"/>
  <c r="O54"/>
  <c r="M54"/>
  <c r="R54"/>
  <c r="P54"/>
  <c r="N54"/>
  <c r="Q58"/>
  <c r="O58"/>
  <c r="M58"/>
  <c r="R58"/>
  <c r="P58"/>
  <c r="N58"/>
  <c r="E56"/>
  <c r="Q59"/>
  <c r="O59"/>
  <c r="M59"/>
  <c r="R59"/>
  <c r="P59"/>
  <c r="N59"/>
  <c r="Q60"/>
  <c r="O60"/>
  <c r="M60"/>
  <c r="R60"/>
  <c r="P60"/>
  <c r="N60"/>
  <c r="Q61"/>
  <c r="O61"/>
  <c r="M61"/>
  <c r="R61"/>
  <c r="P61"/>
  <c r="N61"/>
  <c r="Q62"/>
  <c r="O62"/>
  <c r="M62"/>
  <c r="R62"/>
  <c r="P62"/>
  <c r="N62"/>
  <c r="Q63"/>
  <c r="O63"/>
  <c r="M63"/>
  <c r="R63"/>
  <c r="P63"/>
  <c r="N63"/>
  <c r="Q64"/>
  <c r="O64"/>
  <c r="M64"/>
  <c r="R64"/>
  <c r="P64"/>
  <c r="N64"/>
  <c r="Q65"/>
  <c r="O65"/>
  <c r="M65"/>
  <c r="R65"/>
  <c r="P65"/>
  <c r="N65"/>
  <c r="Q66"/>
  <c r="O66"/>
  <c r="M66"/>
  <c r="R66"/>
  <c r="P66"/>
  <c r="N66"/>
  <c r="Q67"/>
  <c r="O67"/>
  <c r="M67"/>
  <c r="R67"/>
  <c r="P67"/>
  <c r="N67"/>
  <c r="Q71"/>
  <c r="O71"/>
  <c r="M71"/>
  <c r="R71"/>
  <c r="P71"/>
  <c r="N71"/>
  <c r="E69"/>
  <c r="Q72"/>
  <c r="O72"/>
  <c r="M72"/>
  <c r="R72"/>
  <c r="P72"/>
  <c r="N72"/>
  <c r="Q73"/>
  <c r="O73"/>
  <c r="M73"/>
  <c r="R73"/>
  <c r="P73"/>
  <c r="N73"/>
  <c r="Q74"/>
  <c r="O74"/>
  <c r="M74"/>
  <c r="R74"/>
  <c r="P74"/>
  <c r="N74"/>
  <c r="Q75"/>
  <c r="O75"/>
  <c r="M75"/>
  <c r="R75"/>
  <c r="P75"/>
  <c r="N75"/>
  <c r="Q76"/>
  <c r="O76"/>
  <c r="M76"/>
  <c r="R76"/>
  <c r="P76"/>
  <c r="N76"/>
  <c r="Q77"/>
  <c r="O77"/>
  <c r="M77"/>
  <c r="R77"/>
  <c r="P77"/>
  <c r="N77"/>
  <c r="Q78"/>
  <c r="O78"/>
  <c r="M78"/>
  <c r="R78"/>
  <c r="P78"/>
  <c r="N78"/>
  <c r="Q79"/>
  <c r="O79"/>
  <c r="M79"/>
  <c r="R79"/>
  <c r="P79"/>
  <c r="N79"/>
  <c r="Q80"/>
  <c r="O80"/>
  <c r="M80"/>
  <c r="R80"/>
  <c r="P80"/>
  <c r="N80"/>
  <c r="Q84"/>
  <c r="O84"/>
  <c r="M84"/>
  <c r="R84"/>
  <c r="P84"/>
  <c r="N84"/>
  <c r="E82"/>
  <c r="Q85"/>
  <c r="O85"/>
  <c r="M85"/>
  <c r="R85"/>
  <c r="P85"/>
  <c r="N85"/>
  <c r="Q86"/>
  <c r="O86"/>
  <c r="M86"/>
  <c r="R86"/>
  <c r="P86"/>
  <c r="N86"/>
  <c r="Q87"/>
  <c r="O87"/>
  <c r="M87"/>
  <c r="R87"/>
  <c r="P87"/>
  <c r="N87"/>
  <c r="Q88"/>
  <c r="O88"/>
  <c r="M88"/>
  <c r="R88"/>
  <c r="P88"/>
  <c r="N88"/>
  <c r="Q89"/>
  <c r="O89"/>
  <c r="M89"/>
  <c r="R89"/>
  <c r="P89"/>
  <c r="N89"/>
  <c r="Q90"/>
  <c r="O90"/>
  <c r="M90"/>
  <c r="R90"/>
  <c r="P90"/>
  <c r="N90"/>
  <c r="Q91"/>
  <c r="O91"/>
  <c r="M91"/>
  <c r="R91"/>
  <c r="P91"/>
  <c r="N91"/>
  <c r="Q92"/>
  <c r="O92"/>
  <c r="M92"/>
  <c r="R92"/>
  <c r="P92"/>
  <c r="N92"/>
  <c r="Q93"/>
  <c r="O93"/>
  <c r="M93"/>
  <c r="R93"/>
  <c r="P93"/>
  <c r="N93"/>
  <c r="Q97"/>
  <c r="O97"/>
  <c r="M97"/>
  <c r="R97"/>
  <c r="P97"/>
  <c r="N97"/>
  <c r="E95"/>
  <c r="Q98"/>
  <c r="O98"/>
  <c r="M98"/>
  <c r="R98"/>
  <c r="P98"/>
  <c r="N98"/>
  <c r="Q99"/>
  <c r="O99"/>
  <c r="M99"/>
  <c r="R99"/>
  <c r="P99"/>
  <c r="N99"/>
  <c r="Q100"/>
  <c r="O100"/>
  <c r="M100"/>
  <c r="R100"/>
  <c r="P100"/>
  <c r="N100"/>
  <c r="Q101"/>
  <c r="O101"/>
  <c r="M101"/>
  <c r="R101"/>
  <c r="P101"/>
  <c r="N101"/>
  <c r="Q102"/>
  <c r="O102"/>
  <c r="M102"/>
  <c r="R102"/>
  <c r="P102"/>
  <c r="N102"/>
  <c r="Q103"/>
  <c r="O103"/>
  <c r="M103"/>
  <c r="R103"/>
  <c r="P103"/>
  <c r="N103"/>
  <c r="Q104"/>
  <c r="O104"/>
  <c r="M104"/>
  <c r="R104"/>
  <c r="P104"/>
  <c r="N104"/>
  <c r="Q105"/>
  <c r="O105"/>
  <c r="M105"/>
  <c r="R105"/>
  <c r="P105"/>
  <c r="N105"/>
  <c r="Q106"/>
  <c r="O106"/>
  <c r="M106"/>
  <c r="R106"/>
  <c r="P106"/>
  <c r="N106"/>
  <c r="Q110"/>
  <c r="O110"/>
  <c r="M110"/>
  <c r="R110"/>
  <c r="P110"/>
  <c r="N110"/>
  <c r="E108"/>
  <c r="Q111"/>
  <c r="O111"/>
  <c r="M111"/>
  <c r="R111"/>
  <c r="P111"/>
  <c r="N111"/>
  <c r="Q112"/>
  <c r="O112"/>
  <c r="M112"/>
  <c r="R112"/>
  <c r="P112"/>
  <c r="N112"/>
  <c r="Q113"/>
  <c r="O113"/>
  <c r="M113"/>
  <c r="R113"/>
  <c r="P113"/>
  <c r="N113"/>
  <c r="Q114"/>
  <c r="O114"/>
  <c r="M114"/>
  <c r="R114"/>
  <c r="P114"/>
  <c r="N114"/>
  <c r="Q115"/>
  <c r="O115"/>
  <c r="M115"/>
  <c r="R115"/>
  <c r="P115"/>
  <c r="N115"/>
  <c r="Q116"/>
  <c r="O116"/>
  <c r="M116"/>
  <c r="R116"/>
  <c r="P116"/>
  <c r="N116"/>
  <c r="Q117"/>
  <c r="O117"/>
  <c r="M117"/>
  <c r="R117"/>
  <c r="P117"/>
  <c r="N117"/>
  <c r="Q118"/>
  <c r="O118"/>
  <c r="M118"/>
  <c r="R118"/>
  <c r="P118"/>
  <c r="N118"/>
  <c r="Q119"/>
  <c r="O119"/>
  <c r="M119"/>
  <c r="R119"/>
  <c r="P119"/>
  <c r="N119"/>
  <c r="F4"/>
  <c r="E4" i="1"/>
  <c r="D4"/>
  <c r="B4"/>
  <c r="F11" i="3" l="1"/>
  <c r="S11" s="1"/>
  <c r="L70" i="8"/>
  <c r="F109"/>
  <c r="H57"/>
  <c r="G109"/>
  <c r="L83"/>
  <c r="H70"/>
  <c r="F24" i="3"/>
  <c r="S24" s="1"/>
  <c r="F9"/>
  <c r="M9" s="1"/>
  <c r="J96" i="8"/>
  <c r="I44"/>
  <c r="G57"/>
  <c r="F23" i="3"/>
  <c r="M23" s="1"/>
  <c r="I57" i="8"/>
  <c r="F57"/>
  <c r="K57"/>
  <c r="L109"/>
  <c r="F13" i="3"/>
  <c r="M13" s="1"/>
  <c r="F96" i="8"/>
  <c r="F40" i="3"/>
  <c r="M40" s="1"/>
  <c r="H109" i="8"/>
  <c r="I109"/>
  <c r="F27" i="3"/>
  <c r="M27" s="1"/>
  <c r="I96" i="8"/>
  <c r="E31"/>
  <c r="J109"/>
  <c r="K109"/>
  <c r="F26" i="3"/>
  <c r="S26" s="1"/>
  <c r="F6"/>
  <c r="M6" s="1"/>
  <c r="H96" i="8"/>
  <c r="H83"/>
  <c r="E83"/>
  <c r="F38" i="3"/>
  <c r="M38" s="1"/>
  <c r="F37"/>
  <c r="M37" s="1"/>
  <c r="F18" i="8"/>
  <c r="F12" i="3"/>
  <c r="M12" s="1"/>
  <c r="K83" i="8"/>
  <c r="L31"/>
  <c r="I83"/>
  <c r="J31"/>
  <c r="K31"/>
  <c r="K96"/>
  <c r="G83"/>
  <c r="K44"/>
  <c r="H44"/>
  <c r="F36" i="3"/>
  <c r="M36" s="1"/>
  <c r="L18" i="8"/>
  <c r="G96"/>
  <c r="K70"/>
  <c r="L57"/>
  <c r="F44"/>
  <c r="F8" i="3"/>
  <c r="M8" s="1"/>
  <c r="I31" i="8"/>
  <c r="J18"/>
  <c r="E18"/>
  <c r="F83"/>
  <c r="J57"/>
  <c r="F22" i="3"/>
  <c r="M22" s="1"/>
  <c r="G31" i="8"/>
  <c r="H18"/>
  <c r="F34" i="3"/>
  <c r="S34" s="1"/>
  <c r="F20"/>
  <c r="M20" s="1"/>
  <c r="G44" i="8"/>
  <c r="H31"/>
  <c r="F21" i="3"/>
  <c r="M21" s="1"/>
  <c r="K18" i="8"/>
  <c r="L44"/>
  <c r="F31"/>
  <c r="F35" i="3"/>
  <c r="S35" s="1"/>
  <c r="I18" i="8"/>
  <c r="J44"/>
  <c r="L5" i="14"/>
  <c r="P109" i="8"/>
  <c r="O13" i="3" s="1"/>
  <c r="P13" s="1"/>
  <c r="P108" i="8"/>
  <c r="H13" i="3" s="1"/>
  <c r="Q109" i="8"/>
  <c r="O27" i="3" s="1"/>
  <c r="P27" s="1"/>
  <c r="Q108" i="8"/>
  <c r="H27" i="3" s="1"/>
  <c r="N96" i="8"/>
  <c r="I26" i="3" s="1"/>
  <c r="J26" s="1"/>
  <c r="N95" i="8"/>
  <c r="G26" i="3" s="1"/>
  <c r="O96" i="8"/>
  <c r="I40" i="3" s="1"/>
  <c r="J40" s="1"/>
  <c r="O95" i="8"/>
  <c r="G40" i="3" s="1"/>
  <c r="E39"/>
  <c r="E25"/>
  <c r="E11"/>
  <c r="M83" i="8"/>
  <c r="I11" i="3" s="1"/>
  <c r="J11" s="1"/>
  <c r="M82" i="8"/>
  <c r="G11" i="3" s="1"/>
  <c r="R70" i="8"/>
  <c r="O38" i="3" s="1"/>
  <c r="P38" s="1"/>
  <c r="R69" i="8"/>
  <c r="H38" i="3" s="1"/>
  <c r="P57" i="8"/>
  <c r="O9" i="3" s="1"/>
  <c r="P9" s="1"/>
  <c r="P56" i="8"/>
  <c r="H9" i="3" s="1"/>
  <c r="E41"/>
  <c r="E27"/>
  <c r="E13"/>
  <c r="M109" i="8"/>
  <c r="I13" i="3" s="1"/>
  <c r="J13" s="1"/>
  <c r="M108" i="8"/>
  <c r="G13" i="3" s="1"/>
  <c r="R96" i="8"/>
  <c r="O40" i="3" s="1"/>
  <c r="P40" s="1"/>
  <c r="R95" i="8"/>
  <c r="H40" i="3" s="1"/>
  <c r="P83" i="8"/>
  <c r="O11" i="3" s="1"/>
  <c r="P11" s="1"/>
  <c r="P82" i="8"/>
  <c r="H11" i="3" s="1"/>
  <c r="Q83" i="8"/>
  <c r="O25" i="3" s="1"/>
  <c r="P25" s="1"/>
  <c r="Q82" i="8"/>
  <c r="H25" i="3" s="1"/>
  <c r="N70" i="8"/>
  <c r="I24" i="3" s="1"/>
  <c r="J24" s="1"/>
  <c r="N69" i="8"/>
  <c r="G24" i="3" s="1"/>
  <c r="O70" i="8"/>
  <c r="I38" i="3" s="1"/>
  <c r="J38" s="1"/>
  <c r="O69" i="8"/>
  <c r="G38" i="3" s="1"/>
  <c r="E37"/>
  <c r="E23"/>
  <c r="E9"/>
  <c r="M57" i="8"/>
  <c r="I9" i="3" s="1"/>
  <c r="J9" s="1"/>
  <c r="M56" i="8"/>
  <c r="G9" i="3" s="1"/>
  <c r="Q57" i="8"/>
  <c r="O23" i="3" s="1"/>
  <c r="P23" s="1"/>
  <c r="Q56" i="8"/>
  <c r="H23" i="3" s="1"/>
  <c r="N44" i="8"/>
  <c r="I22" i="3" s="1"/>
  <c r="J22" s="1"/>
  <c r="N43" i="8"/>
  <c r="G22" i="3" s="1"/>
  <c r="R44" i="8"/>
  <c r="O36" i="3" s="1"/>
  <c r="P36" s="1"/>
  <c r="R43" i="8"/>
  <c r="H36" i="3" s="1"/>
  <c r="O44" i="8"/>
  <c r="I36" i="3" s="1"/>
  <c r="J36" s="1"/>
  <c r="O43" i="8"/>
  <c r="G36" i="3" s="1"/>
  <c r="E35"/>
  <c r="E21"/>
  <c r="E7"/>
  <c r="P31" i="8"/>
  <c r="O7" i="3" s="1"/>
  <c r="P7" s="1"/>
  <c r="P30" i="8"/>
  <c r="H7" i="3" s="1"/>
  <c r="M31" i="8"/>
  <c r="I7" i="3" s="1"/>
  <c r="J7" s="1"/>
  <c r="M30" i="8"/>
  <c r="G7" i="3" s="1"/>
  <c r="Q31" i="8"/>
  <c r="O21" i="3" s="1"/>
  <c r="P21" s="1"/>
  <c r="Q30" i="8"/>
  <c r="H21" i="3" s="1"/>
  <c r="N18" i="8"/>
  <c r="I20" i="3" s="1"/>
  <c r="J20" s="1"/>
  <c r="N17" i="8"/>
  <c r="G20" i="3" s="1"/>
  <c r="R18" i="8"/>
  <c r="O34" i="3" s="1"/>
  <c r="P34" s="1"/>
  <c r="R17" i="8"/>
  <c r="H34" i="3" s="1"/>
  <c r="O18" i="8"/>
  <c r="I34" i="3" s="1"/>
  <c r="J34" s="1"/>
  <c r="O17" i="8"/>
  <c r="G34" i="3" s="1"/>
  <c r="S41"/>
  <c r="M41"/>
  <c r="S39"/>
  <c r="M39"/>
  <c r="S38"/>
  <c r="E33"/>
  <c r="X33" s="1"/>
  <c r="E19"/>
  <c r="X19" s="1"/>
  <c r="E5"/>
  <c r="X5" s="1"/>
  <c r="P5" i="8"/>
  <c r="O5" i="3" s="1"/>
  <c r="P5" s="1"/>
  <c r="P4" i="8"/>
  <c r="H5" i="3" s="1"/>
  <c r="M5" i="8"/>
  <c r="I5" i="3" s="1"/>
  <c r="J5" s="1"/>
  <c r="M4" i="8"/>
  <c r="G5" i="3" s="1"/>
  <c r="Q5" i="8"/>
  <c r="O19" i="3" s="1"/>
  <c r="P19" s="1"/>
  <c r="Q4" i="8"/>
  <c r="H19" i="3" s="1"/>
  <c r="B19" i="2"/>
  <c r="B12"/>
  <c r="B5"/>
  <c r="I5" i="1"/>
  <c r="E5" i="2" s="1"/>
  <c r="F5" s="1"/>
  <c r="K5" i="1"/>
  <c r="L5"/>
  <c r="K5" i="2" s="1"/>
  <c r="L5" s="1"/>
  <c r="M5" i="1"/>
  <c r="K12" i="2" s="1"/>
  <c r="L12" s="1"/>
  <c r="N5" i="1"/>
  <c r="K19" i="2" s="1"/>
  <c r="L19" s="1"/>
  <c r="J5" i="1"/>
  <c r="E12" i="2" s="1"/>
  <c r="F12" s="1"/>
  <c r="G5" i="1"/>
  <c r="E5"/>
  <c r="C5"/>
  <c r="H5"/>
  <c r="F5"/>
  <c r="D5"/>
  <c r="B5"/>
  <c r="F19" i="3"/>
  <c r="F33"/>
  <c r="F5"/>
  <c r="K5" i="8"/>
  <c r="I5"/>
  <c r="G5"/>
  <c r="L5"/>
  <c r="J5"/>
  <c r="H5"/>
  <c r="F5"/>
  <c r="E5"/>
  <c r="N109"/>
  <c r="I27" i="3" s="1"/>
  <c r="J27" s="1"/>
  <c r="N108" i="8"/>
  <c r="G27" i="3" s="1"/>
  <c r="R109" i="8"/>
  <c r="O41" i="3" s="1"/>
  <c r="P41" s="1"/>
  <c r="R108" i="8"/>
  <c r="H41" i="3" s="1"/>
  <c r="O109" i="8"/>
  <c r="I41" i="3" s="1"/>
  <c r="J41" s="1"/>
  <c r="O108" i="8"/>
  <c r="G41" i="3" s="1"/>
  <c r="E40"/>
  <c r="E26"/>
  <c r="E12"/>
  <c r="P96" i="8"/>
  <c r="O12" i="3" s="1"/>
  <c r="P12" s="1"/>
  <c r="P95" i="8"/>
  <c r="H12" i="3" s="1"/>
  <c r="M96" i="8"/>
  <c r="I12" i="3" s="1"/>
  <c r="J12" s="1"/>
  <c r="M95" i="8"/>
  <c r="G12" i="3" s="1"/>
  <c r="Q96" i="8"/>
  <c r="O26" i="3" s="1"/>
  <c r="P26" s="1"/>
  <c r="Q95" i="8"/>
  <c r="H26" i="3" s="1"/>
  <c r="N83" i="8"/>
  <c r="I25" i="3" s="1"/>
  <c r="J25" s="1"/>
  <c r="N82" i="8"/>
  <c r="G25" i="3" s="1"/>
  <c r="R83" i="8"/>
  <c r="O39" i="3" s="1"/>
  <c r="P39" s="1"/>
  <c r="R82" i="8"/>
  <c r="H39" i="3" s="1"/>
  <c r="O83" i="8"/>
  <c r="I39" i="3" s="1"/>
  <c r="J39" s="1"/>
  <c r="O82" i="8"/>
  <c r="G39" i="3" s="1"/>
  <c r="E38"/>
  <c r="E24"/>
  <c r="E10"/>
  <c r="P70" i="8"/>
  <c r="O10" i="3" s="1"/>
  <c r="P10" s="1"/>
  <c r="P69" i="8"/>
  <c r="H10" i="3" s="1"/>
  <c r="M70" i="8"/>
  <c r="I10" i="3" s="1"/>
  <c r="J10" s="1"/>
  <c r="M69" i="8"/>
  <c r="G10" i="3" s="1"/>
  <c r="Q70" i="8"/>
  <c r="O24" i="3" s="1"/>
  <c r="P24" s="1"/>
  <c r="Q69" i="8"/>
  <c r="H24" i="3" s="1"/>
  <c r="N57" i="8"/>
  <c r="I23" i="3" s="1"/>
  <c r="J23" s="1"/>
  <c r="N56" i="8"/>
  <c r="G23" i="3" s="1"/>
  <c r="R57" i="8"/>
  <c r="O37" i="3" s="1"/>
  <c r="P37" s="1"/>
  <c r="R56" i="8"/>
  <c r="H37" i="3" s="1"/>
  <c r="O57" i="8"/>
  <c r="I37" i="3" s="1"/>
  <c r="J37" s="1"/>
  <c r="O56" i="8"/>
  <c r="G37" i="3" s="1"/>
  <c r="E36"/>
  <c r="E22"/>
  <c r="E8"/>
  <c r="P44" i="8"/>
  <c r="O8" i="3" s="1"/>
  <c r="P8" s="1"/>
  <c r="P43" i="8"/>
  <c r="H8" i="3" s="1"/>
  <c r="M44" i="8"/>
  <c r="I8" i="3" s="1"/>
  <c r="J8" s="1"/>
  <c r="M43" i="8"/>
  <c r="G8" i="3" s="1"/>
  <c r="Q44" i="8"/>
  <c r="O22" i="3" s="1"/>
  <c r="P22" s="1"/>
  <c r="Q43" i="8"/>
  <c r="H22" i="3" s="1"/>
  <c r="N31" i="8"/>
  <c r="I21" i="3" s="1"/>
  <c r="J21" s="1"/>
  <c r="N30" i="8"/>
  <c r="G21" i="3" s="1"/>
  <c r="R31" i="8"/>
  <c r="O35" i="3" s="1"/>
  <c r="P35" s="1"/>
  <c r="R30" i="8"/>
  <c r="H35" i="3" s="1"/>
  <c r="O31" i="8"/>
  <c r="I35" i="3" s="1"/>
  <c r="J35" s="1"/>
  <c r="O30" i="8"/>
  <c r="G35" i="3" s="1"/>
  <c r="E34"/>
  <c r="E20"/>
  <c r="E6"/>
  <c r="P18" i="8"/>
  <c r="O6" i="3" s="1"/>
  <c r="P6" s="1"/>
  <c r="P17" i="8"/>
  <c r="H6" i="3" s="1"/>
  <c r="M18" i="8"/>
  <c r="I6" i="3" s="1"/>
  <c r="J6" s="1"/>
  <c r="M17" i="8"/>
  <c r="G6" i="3" s="1"/>
  <c r="Q18" i="8"/>
  <c r="O20" i="3" s="1"/>
  <c r="P20" s="1"/>
  <c r="Q17" i="8"/>
  <c r="H20" i="3" s="1"/>
  <c r="M25"/>
  <c r="S25"/>
  <c r="M10"/>
  <c r="S10"/>
  <c r="S7"/>
  <c r="M7"/>
  <c r="N5" i="8"/>
  <c r="I19" i="3" s="1"/>
  <c r="J19" s="1"/>
  <c r="N4" i="8"/>
  <c r="G19" i="3" s="1"/>
  <c r="R5" i="8"/>
  <c r="O33" i="3" s="1"/>
  <c r="P33" s="1"/>
  <c r="R4" i="8"/>
  <c r="H33" i="3" s="1"/>
  <c r="O5" i="8"/>
  <c r="I33" i="3" s="1"/>
  <c r="J33" s="1"/>
  <c r="O4" i="8"/>
  <c r="G33" i="3" s="1"/>
  <c r="O4" i="7"/>
  <c r="P4"/>
  <c r="Q4"/>
  <c r="O5"/>
  <c r="P5"/>
  <c r="Q5"/>
  <c r="O6"/>
  <c r="P6"/>
  <c r="Q6"/>
  <c r="O7"/>
  <c r="P7"/>
  <c r="Q7"/>
  <c r="O8"/>
  <c r="P8"/>
  <c r="Q8"/>
  <c r="O9"/>
  <c r="P9"/>
  <c r="Q9"/>
  <c r="O10"/>
  <c r="P10"/>
  <c r="Q10"/>
  <c r="M4"/>
  <c r="N4"/>
  <c r="M5"/>
  <c r="N5"/>
  <c r="M6"/>
  <c r="N6"/>
  <c r="M7"/>
  <c r="N7"/>
  <c r="M8"/>
  <c r="N8"/>
  <c r="M9"/>
  <c r="N9"/>
  <c r="M10"/>
  <c r="N10"/>
  <c r="L5"/>
  <c r="L6"/>
  <c r="L7"/>
  <c r="L8"/>
  <c r="L9"/>
  <c r="L10"/>
  <c r="L4"/>
  <c r="M11" i="3" l="1"/>
  <c r="N11" s="1"/>
  <c r="S21"/>
  <c r="S9"/>
  <c r="S23"/>
  <c r="M24"/>
  <c r="M26"/>
  <c r="N26" s="1"/>
  <c r="S27"/>
  <c r="T27" s="1"/>
  <c r="S8"/>
  <c r="T8" s="1"/>
  <c r="S12"/>
  <c r="T12" s="1"/>
  <c r="N39"/>
  <c r="S40"/>
  <c r="T40" s="1"/>
  <c r="S13"/>
  <c r="T13" s="1"/>
  <c r="S37"/>
  <c r="T37" s="1"/>
  <c r="S22"/>
  <c r="T22" s="1"/>
  <c r="S6"/>
  <c r="T6" s="1"/>
  <c r="S36"/>
  <c r="T36" s="1"/>
  <c r="S20"/>
  <c r="T20" s="1"/>
  <c r="T26"/>
  <c r="N37"/>
  <c r="M35"/>
  <c r="N35" s="1"/>
  <c r="T35"/>
  <c r="M34"/>
  <c r="N34" s="1"/>
  <c r="T39"/>
  <c r="N41"/>
  <c r="T34"/>
  <c r="N20"/>
  <c r="T24"/>
  <c r="T41"/>
  <c r="AA33"/>
  <c r="Y33"/>
  <c r="AB33"/>
  <c r="Z33"/>
  <c r="Y19"/>
  <c r="AA19"/>
  <c r="AB20"/>
  <c r="Z20"/>
  <c r="AA6"/>
  <c r="Y6"/>
  <c r="Z6"/>
  <c r="AB6"/>
  <c r="AA37"/>
  <c r="Y37"/>
  <c r="Z37"/>
  <c r="AB37"/>
  <c r="Y23"/>
  <c r="AA23"/>
  <c r="AB24"/>
  <c r="Z24"/>
  <c r="AA10"/>
  <c r="Y10"/>
  <c r="Z10"/>
  <c r="AB10"/>
  <c r="AA41"/>
  <c r="Y41"/>
  <c r="Z41"/>
  <c r="AB41"/>
  <c r="Y27"/>
  <c r="AA27"/>
  <c r="S5"/>
  <c r="T5" s="1"/>
  <c r="M5"/>
  <c r="N5" s="1"/>
  <c r="M19"/>
  <c r="N19" s="1"/>
  <c r="S19"/>
  <c r="T19" s="1"/>
  <c r="G19" i="2"/>
  <c r="M19"/>
  <c r="G12"/>
  <c r="G5"/>
  <c r="T19"/>
  <c r="T5"/>
  <c r="W5" s="1"/>
  <c r="T13"/>
  <c r="S19"/>
  <c r="S5"/>
  <c r="U5" s="1"/>
  <c r="S13"/>
  <c r="O5"/>
  <c r="M5"/>
  <c r="T12"/>
  <c r="W12" s="1"/>
  <c r="T20"/>
  <c r="T6"/>
  <c r="S12"/>
  <c r="U12" s="1"/>
  <c r="S20"/>
  <c r="S6"/>
  <c r="I5"/>
  <c r="M12"/>
  <c r="O19"/>
  <c r="I19"/>
  <c r="AB19" i="3"/>
  <c r="Z19"/>
  <c r="AA5"/>
  <c r="Y5"/>
  <c r="Z5"/>
  <c r="AB5"/>
  <c r="Y36"/>
  <c r="AA36"/>
  <c r="Z36"/>
  <c r="AB36"/>
  <c r="Y22"/>
  <c r="AA22"/>
  <c r="AB23"/>
  <c r="Z23"/>
  <c r="AA9"/>
  <c r="Y9"/>
  <c r="Z9"/>
  <c r="AB9"/>
  <c r="Z38"/>
  <c r="AB38"/>
  <c r="AA11"/>
  <c r="Y11"/>
  <c r="G5" i="14"/>
  <c r="G29"/>
  <c r="T35"/>
  <c r="T31"/>
  <c r="T22"/>
  <c r="T18"/>
  <c r="T9"/>
  <c r="T5"/>
  <c r="X5" s="1"/>
  <c r="T32"/>
  <c r="T23"/>
  <c r="T19"/>
  <c r="T10"/>
  <c r="T6"/>
  <c r="S35"/>
  <c r="S33"/>
  <c r="S31"/>
  <c r="S29"/>
  <c r="S22"/>
  <c r="S20"/>
  <c r="S18"/>
  <c r="S9"/>
  <c r="S7"/>
  <c r="S6"/>
  <c r="S5"/>
  <c r="V5" s="1"/>
  <c r="O5"/>
  <c r="M5"/>
  <c r="G17"/>
  <c r="I5"/>
  <c r="T33"/>
  <c r="T29"/>
  <c r="T20"/>
  <c r="T11"/>
  <c r="T7"/>
  <c r="T34"/>
  <c r="T30"/>
  <c r="T21"/>
  <c r="T17"/>
  <c r="T8"/>
  <c r="S34"/>
  <c r="S32"/>
  <c r="S30"/>
  <c r="S23"/>
  <c r="S21"/>
  <c r="S19"/>
  <c r="S17"/>
  <c r="S11"/>
  <c r="S10"/>
  <c r="S8"/>
  <c r="M29"/>
  <c r="M17"/>
  <c r="N21" i="3"/>
  <c r="N8"/>
  <c r="N25"/>
  <c r="N12"/>
  <c r="T21"/>
  <c r="N7"/>
  <c r="T7"/>
  <c r="N38"/>
  <c r="N24"/>
  <c r="T25"/>
  <c r="T11"/>
  <c r="N13"/>
  <c r="N40"/>
  <c r="AA35"/>
  <c r="Y35"/>
  <c r="Z35"/>
  <c r="AB35"/>
  <c r="Y21"/>
  <c r="AA21"/>
  <c r="AB22"/>
  <c r="Z22"/>
  <c r="AA8"/>
  <c r="Y8"/>
  <c r="Z8"/>
  <c r="AB8"/>
  <c r="AA39"/>
  <c r="Y39"/>
  <c r="Z39"/>
  <c r="AB39"/>
  <c r="Y25"/>
  <c r="AA25"/>
  <c r="AB26"/>
  <c r="Z26"/>
  <c r="AA12"/>
  <c r="Y12"/>
  <c r="Z12"/>
  <c r="AB12"/>
  <c r="S33"/>
  <c r="T33" s="1"/>
  <c r="M33"/>
  <c r="N33" s="1"/>
  <c r="O12" i="2"/>
  <c r="I12"/>
  <c r="W39" i="13"/>
  <c r="W35"/>
  <c r="W26"/>
  <c r="W21"/>
  <c r="W7"/>
  <c r="W11"/>
  <c r="W40"/>
  <c r="W36"/>
  <c r="W33"/>
  <c r="W24"/>
  <c r="W20"/>
  <c r="W13"/>
  <c r="W8"/>
  <c r="W5"/>
  <c r="W37"/>
  <c r="W27"/>
  <c r="W23"/>
  <c r="W12"/>
  <c r="W9"/>
  <c r="W41"/>
  <c r="W38"/>
  <c r="W34"/>
  <c r="W25"/>
  <c r="W22"/>
  <c r="W19"/>
  <c r="W6"/>
  <c r="W10"/>
  <c r="AA34" i="3"/>
  <c r="Y34"/>
  <c r="Z34"/>
  <c r="AB34"/>
  <c r="AA20"/>
  <c r="Y20"/>
  <c r="AB21"/>
  <c r="Z21"/>
  <c r="Y7"/>
  <c r="AA7"/>
  <c r="Z7"/>
  <c r="AB7"/>
  <c r="AA38"/>
  <c r="Y38"/>
  <c r="AA24"/>
  <c r="Y24"/>
  <c r="AB25"/>
  <c r="Z25"/>
  <c r="Z11"/>
  <c r="AB11"/>
  <c r="Z40"/>
  <c r="AB40"/>
  <c r="AA13"/>
  <c r="Y13"/>
  <c r="Y40"/>
  <c r="AA40"/>
  <c r="Y26"/>
  <c r="AA26"/>
  <c r="AB27"/>
  <c r="Z27"/>
  <c r="Z13"/>
  <c r="AB13"/>
  <c r="I29" i="14"/>
  <c r="O29"/>
  <c r="O17"/>
  <c r="I17"/>
  <c r="N6" i="3"/>
  <c r="N23"/>
  <c r="N10"/>
  <c r="T10"/>
  <c r="N27"/>
  <c r="N36"/>
  <c r="N22"/>
  <c r="T23"/>
  <c r="N9"/>
  <c r="T9"/>
  <c r="T38"/>
  <c r="G4" i="10"/>
  <c r="F4"/>
  <c r="P5" i="14" l="1"/>
  <c r="Q5" s="1"/>
  <c r="U33" i="3"/>
  <c r="V33"/>
  <c r="U25"/>
  <c r="V25"/>
  <c r="U5"/>
  <c r="V5"/>
  <c r="U24"/>
  <c r="V24"/>
  <c r="U36"/>
  <c r="V36"/>
  <c r="U13"/>
  <c r="V13"/>
  <c r="U8"/>
  <c r="V8"/>
  <c r="U38"/>
  <c r="V38"/>
  <c r="U11"/>
  <c r="V11"/>
  <c r="U7"/>
  <c r="V7"/>
  <c r="U41"/>
  <c r="V41"/>
  <c r="U34"/>
  <c r="V34"/>
  <c r="U35"/>
  <c r="V35"/>
  <c r="U20"/>
  <c r="V20"/>
  <c r="U23"/>
  <c r="V23"/>
  <c r="U10"/>
  <c r="V10"/>
  <c r="U12"/>
  <c r="V12"/>
  <c r="U26"/>
  <c r="V26"/>
  <c r="U22"/>
  <c r="V22"/>
  <c r="U9"/>
  <c r="V9"/>
  <c r="U21"/>
  <c r="V21"/>
  <c r="U19"/>
  <c r="V19"/>
  <c r="U37"/>
  <c r="V37"/>
  <c r="U39"/>
  <c r="V39"/>
  <c r="U6"/>
  <c r="V6"/>
  <c r="U40"/>
  <c r="V40"/>
  <c r="U27"/>
  <c r="V27"/>
  <c r="M22" i="13"/>
  <c r="S27"/>
  <c r="S34"/>
  <c r="S20"/>
  <c r="M40"/>
  <c r="P12" i="2"/>
  <c r="M41" i="13"/>
  <c r="S12"/>
  <c r="M13"/>
  <c r="M24"/>
  <c r="M10"/>
  <c r="S38"/>
  <c r="S26"/>
  <c r="S36"/>
  <c r="S8"/>
  <c r="M23"/>
  <c r="J12" i="2"/>
  <c r="P19"/>
  <c r="J5"/>
  <c r="P5"/>
  <c r="Z6" i="13"/>
  <c r="AA6"/>
  <c r="Z20"/>
  <c r="J36"/>
  <c r="P27"/>
  <c r="J13"/>
  <c r="P13"/>
  <c r="J40"/>
  <c r="P40"/>
  <c r="J26"/>
  <c r="J10"/>
  <c r="J9"/>
  <c r="P23"/>
  <c r="J7"/>
  <c r="P21"/>
  <c r="Z34"/>
  <c r="J34"/>
  <c r="J20"/>
  <c r="P34"/>
  <c r="J6"/>
  <c r="P20"/>
  <c r="P6"/>
  <c r="X33"/>
  <c r="X19"/>
  <c r="X5"/>
  <c r="U8" i="14"/>
  <c r="V8"/>
  <c r="U11"/>
  <c r="V11"/>
  <c r="V19"/>
  <c r="U19"/>
  <c r="V23"/>
  <c r="U23"/>
  <c r="U32"/>
  <c r="V32"/>
  <c r="W8"/>
  <c r="X8"/>
  <c r="X21"/>
  <c r="W21"/>
  <c r="W34"/>
  <c r="X34"/>
  <c r="W11"/>
  <c r="X11"/>
  <c r="U7"/>
  <c r="V7"/>
  <c r="U18"/>
  <c r="V18"/>
  <c r="V22"/>
  <c r="U22"/>
  <c r="U31"/>
  <c r="V31"/>
  <c r="U35"/>
  <c r="V35"/>
  <c r="W10"/>
  <c r="X10"/>
  <c r="X23"/>
  <c r="W23"/>
  <c r="W18"/>
  <c r="X18"/>
  <c r="W31"/>
  <c r="X31"/>
  <c r="V6" i="2"/>
  <c r="U6"/>
  <c r="X20"/>
  <c r="W20"/>
  <c r="U13"/>
  <c r="V13"/>
  <c r="S11" i="13"/>
  <c r="M11"/>
  <c r="S9"/>
  <c r="M9"/>
  <c r="M8"/>
  <c r="S22"/>
  <c r="S7"/>
  <c r="M7"/>
  <c r="J39"/>
  <c r="P39"/>
  <c r="J25"/>
  <c r="P38"/>
  <c r="J24"/>
  <c r="J23"/>
  <c r="J8"/>
  <c r="P8"/>
  <c r="J21"/>
  <c r="J5"/>
  <c r="J19"/>
  <c r="J33"/>
  <c r="P5"/>
  <c r="P19"/>
  <c r="P33"/>
  <c r="U10" i="14"/>
  <c r="V10"/>
  <c r="V21"/>
  <c r="U21"/>
  <c r="V30"/>
  <c r="U30"/>
  <c r="U34"/>
  <c r="V34"/>
  <c r="X30"/>
  <c r="W30"/>
  <c r="W7"/>
  <c r="X7"/>
  <c r="X20"/>
  <c r="W20"/>
  <c r="W33"/>
  <c r="X33"/>
  <c r="U6"/>
  <c r="V6"/>
  <c r="U9"/>
  <c r="V9"/>
  <c r="V20"/>
  <c r="U20"/>
  <c r="U33"/>
  <c r="V33"/>
  <c r="W6"/>
  <c r="X6"/>
  <c r="X19"/>
  <c r="W19"/>
  <c r="W32"/>
  <c r="X32"/>
  <c r="W9"/>
  <c r="X9"/>
  <c r="X22"/>
  <c r="W22"/>
  <c r="W35"/>
  <c r="X35"/>
  <c r="U20" i="2"/>
  <c r="V20"/>
  <c r="X6"/>
  <c r="W6"/>
  <c r="X13"/>
  <c r="W13"/>
  <c r="M27" i="13"/>
  <c r="M25"/>
  <c r="S25"/>
  <c r="S39"/>
  <c r="M39"/>
  <c r="S37"/>
  <c r="M37"/>
  <c r="M21"/>
  <c r="S21"/>
  <c r="S35"/>
  <c r="M35"/>
  <c r="M6"/>
  <c r="S6"/>
  <c r="M20"/>
  <c r="J27"/>
  <c r="P41"/>
  <c r="J41"/>
  <c r="P12"/>
  <c r="P26"/>
  <c r="J12"/>
  <c r="P25"/>
  <c r="J11"/>
  <c r="P11"/>
  <c r="J38"/>
  <c r="P10"/>
  <c r="P24"/>
  <c r="P37"/>
  <c r="J37"/>
  <c r="P9"/>
  <c r="P22"/>
  <c r="P36"/>
  <c r="J22"/>
  <c r="P7"/>
  <c r="P35"/>
  <c r="J35"/>
  <c r="E5" i="12"/>
  <c r="L5"/>
  <c r="M5" s="1"/>
  <c r="Q5" s="1"/>
  <c r="D5"/>
  <c r="F5"/>
  <c r="G5" s="1"/>
  <c r="K5" s="1"/>
  <c r="L17" i="14"/>
  <c r="P17" s="1"/>
  <c r="F29"/>
  <c r="J29" s="1"/>
  <c r="D19" i="2"/>
  <c r="F17" i="14"/>
  <c r="J17" s="1"/>
  <c r="F5"/>
  <c r="J5" s="1"/>
  <c r="D12" i="2"/>
  <c r="L29" i="14"/>
  <c r="P29" s="1"/>
  <c r="D5" i="2"/>
  <c r="C19"/>
  <c r="E19"/>
  <c r="F19" s="1"/>
  <c r="J19" s="1"/>
  <c r="R5" i="14" l="1"/>
  <c r="R5" i="12"/>
  <c r="S5"/>
  <c r="Q12" i="2"/>
  <c r="R12"/>
  <c r="Q29" i="14"/>
  <c r="R29"/>
  <c r="Q19" i="2"/>
  <c r="R19"/>
  <c r="Q17" i="14"/>
  <c r="R17"/>
  <c r="Q5" i="2"/>
  <c r="R5"/>
  <c r="N27" i="13"/>
  <c r="S41"/>
  <c r="T41" s="1"/>
  <c r="M34"/>
  <c r="N34" s="1"/>
  <c r="S40"/>
  <c r="T40" s="1"/>
  <c r="S10"/>
  <c r="T10" s="1"/>
  <c r="S13"/>
  <c r="T13" s="1"/>
  <c r="N37"/>
  <c r="M38"/>
  <c r="N38" s="1"/>
  <c r="M26"/>
  <c r="N26" s="1"/>
  <c r="S23"/>
  <c r="T23" s="1"/>
  <c r="S24"/>
  <c r="T24" s="1"/>
  <c r="M36"/>
  <c r="N36" s="1"/>
  <c r="T21"/>
  <c r="T9"/>
  <c r="M12"/>
  <c r="N12" s="1"/>
  <c r="N11"/>
  <c r="T7"/>
  <c r="T12"/>
  <c r="N22"/>
  <c r="T26"/>
  <c r="T35"/>
  <c r="N8"/>
  <c r="T22"/>
  <c r="T8"/>
  <c r="N40"/>
  <c r="T27"/>
  <c r="AB6"/>
  <c r="Y6"/>
  <c r="T37"/>
  <c r="T34"/>
  <c r="T11"/>
  <c r="N13"/>
  <c r="AB20"/>
  <c r="N35"/>
  <c r="T36"/>
  <c r="T25"/>
  <c r="N41"/>
  <c r="N24"/>
  <c r="N10"/>
  <c r="T20"/>
  <c r="N9"/>
  <c r="N7"/>
  <c r="N6"/>
  <c r="AB34"/>
  <c r="N20"/>
  <c r="T6"/>
  <c r="AB19"/>
  <c r="Z19"/>
  <c r="AA34"/>
  <c r="Y34"/>
  <c r="Z21"/>
  <c r="AB21"/>
  <c r="Z36"/>
  <c r="AB36"/>
  <c r="Y36"/>
  <c r="AA36"/>
  <c r="Z23"/>
  <c r="AB23"/>
  <c r="Z24"/>
  <c r="AB24"/>
  <c r="Z10"/>
  <c r="AB10"/>
  <c r="AA11"/>
  <c r="Y11"/>
  <c r="AA26"/>
  <c r="Y26"/>
  <c r="AA40"/>
  <c r="Y40"/>
  <c r="AA13"/>
  <c r="Y13"/>
  <c r="S5"/>
  <c r="M5"/>
  <c r="N5" s="1"/>
  <c r="Y20"/>
  <c r="AA20"/>
  <c r="AA21"/>
  <c r="Y21"/>
  <c r="AB8"/>
  <c r="Z8"/>
  <c r="AA8"/>
  <c r="Y8"/>
  <c r="AA23"/>
  <c r="Y23"/>
  <c r="AA38"/>
  <c r="Y38"/>
  <c r="Y24"/>
  <c r="AA24"/>
  <c r="Z39"/>
  <c r="AB39"/>
  <c r="Z12"/>
  <c r="AB12"/>
  <c r="Z26"/>
  <c r="AB26"/>
  <c r="Z41"/>
  <c r="AB41"/>
  <c r="T5"/>
  <c r="N23"/>
  <c r="T38"/>
  <c r="T39"/>
  <c r="Y33"/>
  <c r="AA33"/>
  <c r="Z7"/>
  <c r="AB7"/>
  <c r="Y7"/>
  <c r="AA7"/>
  <c r="Y22"/>
  <c r="AA22"/>
  <c r="Z9"/>
  <c r="AB9"/>
  <c r="AA9"/>
  <c r="Y9"/>
  <c r="Y10"/>
  <c r="AA10"/>
  <c r="AB11"/>
  <c r="Z11"/>
  <c r="Z25"/>
  <c r="AB25"/>
  <c r="AB40"/>
  <c r="Z40"/>
  <c r="AB13"/>
  <c r="Z13"/>
  <c r="Z27"/>
  <c r="AB27"/>
  <c r="M19"/>
  <c r="N19" s="1"/>
  <c r="S19"/>
  <c r="T19" s="1"/>
  <c r="S33"/>
  <c r="T33" s="1"/>
  <c r="M33"/>
  <c r="N33" s="1"/>
  <c r="AB35"/>
  <c r="Z35"/>
  <c r="Y35"/>
  <c r="AA35"/>
  <c r="AB22"/>
  <c r="Z22"/>
  <c r="AB37"/>
  <c r="Z37"/>
  <c r="Y37"/>
  <c r="AA37"/>
  <c r="AB38"/>
  <c r="Z38"/>
  <c r="Y25"/>
  <c r="AA25"/>
  <c r="Y39"/>
  <c r="AA39"/>
  <c r="AA12"/>
  <c r="Y12"/>
  <c r="Y27"/>
  <c r="AA27"/>
  <c r="Y41"/>
  <c r="AA41"/>
  <c r="N21"/>
  <c r="N25"/>
  <c r="N39"/>
  <c r="AA5"/>
  <c r="Y5"/>
  <c r="Z33"/>
  <c r="AB33"/>
  <c r="W19" i="2"/>
  <c r="U19"/>
  <c r="V12"/>
  <c r="X12"/>
  <c r="U17" i="14"/>
  <c r="W17"/>
  <c r="AA19" i="13"/>
  <c r="Y19"/>
  <c r="AB5"/>
  <c r="Z5"/>
  <c r="X5" i="2"/>
  <c r="V5"/>
  <c r="V29" i="14"/>
  <c r="X29"/>
  <c r="V19" i="2"/>
  <c r="X19"/>
  <c r="U29" i="14"/>
  <c r="W29"/>
  <c r="V17"/>
  <c r="X17"/>
  <c r="X5" i="12"/>
  <c r="V5"/>
  <c r="W5"/>
  <c r="Y5"/>
  <c r="W5" i="14"/>
  <c r="U5"/>
  <c r="U10" i="13" l="1"/>
  <c r="V10"/>
  <c r="U20"/>
  <c r="V20"/>
  <c r="U25"/>
  <c r="V25"/>
  <c r="U37"/>
  <c r="V37"/>
  <c r="U35"/>
  <c r="V35"/>
  <c r="U7"/>
  <c r="V7"/>
  <c r="U21"/>
  <c r="V21"/>
  <c r="U33"/>
  <c r="V33"/>
  <c r="U38"/>
  <c r="V38"/>
  <c r="U34"/>
  <c r="V34"/>
  <c r="U27"/>
  <c r="V27"/>
  <c r="U12"/>
  <c r="V12"/>
  <c r="U9"/>
  <c r="V9"/>
  <c r="U23"/>
  <c r="V23"/>
  <c r="U13"/>
  <c r="V13"/>
  <c r="U41"/>
  <c r="V41"/>
  <c r="U39"/>
  <c r="V39"/>
  <c r="U6"/>
  <c r="V6"/>
  <c r="U36"/>
  <c r="V36"/>
  <c r="U11"/>
  <c r="V11"/>
  <c r="U22"/>
  <c r="V22"/>
  <c r="U24"/>
  <c r="V24"/>
  <c r="U19"/>
  <c r="V19"/>
  <c r="U5"/>
  <c r="V5"/>
  <c r="U8"/>
  <c r="V8"/>
  <c r="U26"/>
  <c r="V26"/>
  <c r="U40"/>
  <c r="V40"/>
  <c r="S7" i="11"/>
  <c r="S9"/>
  <c r="S11"/>
  <c r="S13"/>
  <c r="S15"/>
  <c r="S17"/>
  <c r="S19"/>
  <c r="S21"/>
  <c r="S23"/>
  <c r="S25"/>
  <c r="S27"/>
  <c r="S29"/>
  <c r="S31"/>
  <c r="S33"/>
  <c r="S35"/>
  <c r="S37"/>
  <c r="S39"/>
  <c r="S41"/>
  <c r="S43"/>
  <c r="S45"/>
  <c r="S47"/>
  <c r="S49"/>
  <c r="S51"/>
  <c r="S53"/>
  <c r="S5"/>
  <c r="S8"/>
  <c r="S10"/>
  <c r="S14"/>
  <c r="S18"/>
  <c r="S22"/>
  <c r="S26"/>
  <c r="S30"/>
  <c r="S34"/>
  <c r="S38"/>
  <c r="S42"/>
  <c r="S46"/>
  <c r="S50"/>
  <c r="S54"/>
  <c r="S6"/>
  <c r="T6" s="1"/>
  <c r="S12"/>
  <c r="S16"/>
  <c r="S20"/>
  <c r="S24"/>
  <c r="S28"/>
  <c r="S32"/>
  <c r="S36"/>
  <c r="S40"/>
  <c r="S44"/>
  <c r="S48"/>
  <c r="S5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I45"/>
  <c r="L45" s="1"/>
  <c r="I47"/>
  <c r="L47" s="1"/>
  <c r="I49"/>
  <c r="L49" s="1"/>
  <c r="I51"/>
  <c r="L51" s="1"/>
  <c r="I53"/>
  <c r="L53" s="1"/>
  <c r="L5"/>
  <c r="L6"/>
  <c r="L8"/>
  <c r="L10"/>
  <c r="L12"/>
  <c r="L14"/>
  <c r="L16"/>
  <c r="L18"/>
  <c r="L20"/>
  <c r="L22"/>
  <c r="L24"/>
  <c r="L26"/>
  <c r="L28"/>
  <c r="L30"/>
  <c r="L32"/>
  <c r="L34"/>
  <c r="L36"/>
  <c r="L38"/>
  <c r="L40"/>
  <c r="L42"/>
  <c r="L44"/>
  <c r="I46"/>
  <c r="L46" s="1"/>
  <c r="I48"/>
  <c r="L48" s="1"/>
  <c r="I50"/>
  <c r="L50" s="1"/>
  <c r="I52"/>
  <c r="L52" s="1"/>
  <c r="I54"/>
  <c r="L54" s="1"/>
  <c r="T54" l="1"/>
  <c r="T38"/>
  <c r="T22"/>
  <c r="T40"/>
  <c r="T24"/>
  <c r="T42"/>
  <c r="T26"/>
  <c r="T10"/>
  <c r="T51"/>
  <c r="T43"/>
  <c r="T35"/>
  <c r="T27"/>
  <c r="T19"/>
  <c r="T11"/>
  <c r="T44"/>
  <c r="T28"/>
  <c r="T12"/>
  <c r="T46"/>
  <c r="T30"/>
  <c r="T14"/>
  <c r="T53"/>
  <c r="T45"/>
  <c r="T37"/>
  <c r="T29"/>
  <c r="T21"/>
  <c r="T13"/>
  <c r="T48"/>
  <c r="T32"/>
  <c r="T16"/>
  <c r="T50"/>
  <c r="T34"/>
  <c r="T18"/>
  <c r="T5"/>
  <c r="T47"/>
  <c r="T39"/>
  <c r="T31"/>
  <c r="T23"/>
  <c r="T15"/>
  <c r="T7"/>
  <c r="T52"/>
  <c r="T36"/>
  <c r="T20"/>
  <c r="T8"/>
  <c r="T49"/>
  <c r="T41"/>
  <c r="T33"/>
  <c r="T25"/>
  <c r="T17"/>
  <c r="T9"/>
  <c r="H174" i="16"/>
  <c r="I167" s="1"/>
  <c r="L167" s="1"/>
  <c r="T167" s="1"/>
  <c r="I162" l="1"/>
  <c r="L162" s="1"/>
  <c r="T162" s="1"/>
  <c r="I166"/>
  <c r="L166" s="1"/>
  <c r="T166" s="1"/>
  <c r="I161"/>
  <c r="L161" s="1"/>
  <c r="T161" s="1"/>
  <c r="I164"/>
  <c r="L164" s="1"/>
  <c r="T164" s="1"/>
  <c r="I170"/>
  <c r="L170" s="1"/>
  <c r="T170" s="1"/>
  <c r="I163"/>
  <c r="L163" s="1"/>
  <c r="T163" s="1"/>
  <c r="I169"/>
  <c r="L169" s="1"/>
  <c r="T169" s="1"/>
  <c r="I168"/>
  <c r="L168" s="1"/>
  <c r="T168" s="1"/>
  <c r="I165"/>
  <c r="L165" s="1"/>
  <c r="T165" s="1"/>
</calcChain>
</file>

<file path=xl/comments1.xml><?xml version="1.0" encoding="utf-8"?>
<comments xmlns="http://schemas.openxmlformats.org/spreadsheetml/2006/main">
  <authors>
    <author>Ozlem Yilmaz</author>
  </authors>
  <commentList>
    <comment ref="U4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salladım
</t>
        </r>
      </text>
    </comment>
  </commentList>
</comments>
</file>

<file path=xl/comments2.xml><?xml version="1.0" encoding="utf-8"?>
<comments xmlns="http://schemas.openxmlformats.org/spreadsheetml/2006/main">
  <authors>
    <author>Ozlem Yilmaz</author>
  </authors>
  <commentList>
    <comment ref="T4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  <comment ref="Q5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2 ANLAMLI DİİJİT BIRAKTIM. ÖLÇÜLEN DEĞERİ BEYAN EDERKEN BU DURUMDA NOKTADAN SONRA 1 DİJİT OLACAK.</t>
        </r>
      </text>
    </comment>
    <comment ref="T11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  <comment ref="T18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</commentList>
</comments>
</file>

<file path=xl/comments3.xml><?xml version="1.0" encoding="utf-8"?>
<comments xmlns="http://schemas.openxmlformats.org/spreadsheetml/2006/main">
  <authors>
    <author>Ozlem Yilmaz</author>
  </authors>
  <commentList>
    <comment ref="T4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  <comment ref="T16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  <comment ref="T28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61000-4-30
</t>
        </r>
      </text>
    </comment>
  </commentList>
</comments>
</file>

<file path=xl/comments4.xml><?xml version="1.0" encoding="utf-8"?>
<comments xmlns="http://schemas.openxmlformats.org/spreadsheetml/2006/main">
  <authors>
    <author>Ozlem Yilmaz</author>
  </authors>
  <commentList>
    <comment ref="X4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X18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X32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</commentList>
</comments>
</file>

<file path=xl/comments5.xml><?xml version="1.0" encoding="utf-8"?>
<comments xmlns="http://schemas.openxmlformats.org/spreadsheetml/2006/main">
  <authors>
    <author>Ozlem Yilmaz</author>
  </authors>
  <commentList>
    <comment ref="X4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X18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X32" authorId="0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</commentList>
</comments>
</file>

<file path=xl/comments6.xml><?xml version="1.0" encoding="utf-8"?>
<comments xmlns="http://schemas.openxmlformats.org/spreadsheetml/2006/main">
  <authors>
    <author>ozlemy</author>
    <author>Ozlem Yilmaz</author>
  </authors>
  <commentList>
    <comment ref="H4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O4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V4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H5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akım spektleri ve 10 A range i kullanıldı
</t>
        </r>
      </text>
    </comment>
    <comment ref="O5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akım spektleri ve 10 A range i kullanıldı
</t>
        </r>
      </text>
    </comment>
    <comment ref="H62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O62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V62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H63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akım spektleri ve 10 A range i kullanıldı
</t>
        </r>
      </text>
    </comment>
    <comment ref="O63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akım spektleri ve 10 A range i kullanıldı
</t>
        </r>
      </text>
    </comment>
    <comment ref="H120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O120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V120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H121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akım spektleri ve 10 A range i kullanıldı
</t>
        </r>
      </text>
    </comment>
    <comment ref="O121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akım spektleri ve 10 A range i kullanıldı
</t>
        </r>
      </text>
    </comment>
  </commentList>
</comments>
</file>

<file path=xl/comments7.xml><?xml version="1.0" encoding="utf-8"?>
<comments xmlns="http://schemas.openxmlformats.org/spreadsheetml/2006/main">
  <authors>
    <author>ozlemy</author>
    <author>Ozlem Yilmaz</author>
  </authors>
  <commentList>
    <comment ref="H4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</t>
        </r>
      </text>
    </comment>
    <comment ref="O4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</t>
        </r>
      </text>
    </comment>
    <comment ref="V4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H5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
</t>
        </r>
      </text>
    </comment>
    <comment ref="O5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
</t>
        </r>
      </text>
    </comment>
    <comment ref="H62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O62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V62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H63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
</t>
        </r>
      </text>
    </comment>
    <comment ref="O63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
</t>
        </r>
      </text>
    </comment>
    <comment ref="H120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O120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10 A range'inin spektleri kullanıldı</t>
        </r>
      </text>
    </comment>
    <comment ref="V120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61000-4-7
</t>
        </r>
      </text>
    </comment>
    <comment ref="H121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
</t>
        </r>
      </text>
    </comment>
    <comment ref="O121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gerilim spektleri ve 90 V range i kullanıldı
</t>
        </r>
      </text>
    </comment>
  </commentList>
</comments>
</file>

<file path=xl/comments8.xml><?xml version="1.0" encoding="utf-8"?>
<comments xmlns="http://schemas.openxmlformats.org/spreadsheetml/2006/main">
  <authors>
    <author>ozlemy</author>
    <author>Ozlem Yilmaz</author>
  </authors>
  <commentList>
    <comment ref="N4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NPL'den küçük çıktığı için kaymayı da ekledim
</t>
        </r>
      </text>
    </comment>
    <comment ref="O4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1 (Pst) e bölüyorum bağıl yapmak için.</t>
        </r>
      </text>
    </comment>
    <comment ref="X4" authorId="0">
      <text>
        <r>
          <rPr>
            <b/>
            <sz val="8"/>
            <color indexed="81"/>
            <rFont val="Tahoma"/>
            <family val="2"/>
            <charset val="162"/>
          </rPr>
          <t>ozlemy:</t>
        </r>
        <r>
          <rPr>
            <sz val="8"/>
            <color indexed="81"/>
            <rFont val="Tahoma"/>
            <family val="2"/>
            <charset val="162"/>
          </rPr>
          <t xml:space="preserve">
NPL'den küçük çıktığı için kaymayı da ekledim
</t>
        </r>
      </text>
    </comment>
    <comment ref="Y4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1 (Pst) e bölüyorum bağıl yapmak için.</t>
        </r>
      </text>
    </comment>
    <comment ref="AB4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1 ile çarparak mutlak yapıyorum</t>
        </r>
      </text>
    </comment>
    <comment ref="AE4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61000-4-15
</t>
        </r>
      </text>
    </comment>
    <comment ref="AE15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61000-4-15
</t>
        </r>
      </text>
    </comment>
    <comment ref="AE26" authorId="1">
      <text>
        <r>
          <rPr>
            <b/>
            <sz val="9"/>
            <color indexed="81"/>
            <rFont val="Tahoma"/>
            <family val="2"/>
            <charset val="162"/>
          </rPr>
          <t>Ozlem Yilmaz:</t>
        </r>
        <r>
          <rPr>
            <sz val="9"/>
            <color indexed="81"/>
            <rFont val="Tahoma"/>
            <family val="2"/>
            <charset val="162"/>
          </rPr>
          <t xml:space="preserve">
IEC 61000-4-15
</t>
        </r>
      </text>
    </comment>
  </commentList>
</comments>
</file>

<file path=xl/sharedStrings.xml><?xml version="1.0" encoding="utf-8"?>
<sst xmlns="http://schemas.openxmlformats.org/spreadsheetml/2006/main" count="1593" uniqueCount="179">
  <si>
    <t>Güç Faktörü</t>
  </si>
  <si>
    <t>Uygulanan Değer (Fluke 6105A)</t>
  </si>
  <si>
    <t>Fider 1_Ölçülen Değer (Güç Kalitesi Analizörü)</t>
  </si>
  <si>
    <t>Fider 2_Ölçülen Değer (Güç Kalitesi Analizörü)</t>
  </si>
  <si>
    <t>1. ölçüm</t>
  </si>
  <si>
    <t>2. ölçüm</t>
  </si>
  <si>
    <t>3. ölçüm</t>
  </si>
  <si>
    <t>4. ölçüm</t>
  </si>
  <si>
    <t>5. ölçüm</t>
  </si>
  <si>
    <t>Ortalama Değer</t>
  </si>
  <si>
    <t>Harmonik
Sayısı</t>
  </si>
  <si>
    <t>Uygulanan Değer (A)
(Fluke 6105A)</t>
  </si>
  <si>
    <t>Modülasyon Frekansı (mHz)</t>
  </si>
  <si>
    <t>DV/V</t>
  </si>
  <si>
    <t>Gerilim (V)</t>
  </si>
  <si>
    <t>Frekans (Hz)</t>
  </si>
  <si>
    <t xml:space="preserve">Fider 1_Ölçülen Değer </t>
  </si>
  <si>
    <t>Fider 2_Ölçülen Değer</t>
  </si>
  <si>
    <t>f1</t>
  </si>
  <si>
    <t>57,735 V
47 Hz</t>
  </si>
  <si>
    <t>57,735 V
50 Hz</t>
  </si>
  <si>
    <t>57,735 V
53 Hz</t>
  </si>
  <si>
    <t>57,735 V
5 A
PF 0,5i
-30 derece</t>
  </si>
  <si>
    <t>57,735 V
5 A
PF 0,5k
-150 derece</t>
  </si>
  <si>
    <t>57,735 V
5 A
PF 1
-90 derece</t>
  </si>
  <si>
    <t>57,735 V
5 A
PF 1
0 derece</t>
  </si>
  <si>
    <t>57,735 V
5 A
PF 0,5i
-60 derece</t>
  </si>
  <si>
    <t>57,735 V
5 A
PF 0,5k
60 derece</t>
  </si>
  <si>
    <t>57,735 V
2,5 A
PF 1
-90 derece</t>
  </si>
  <si>
    <t>57,735 V
1 A
PF 1
-90 derece</t>
  </si>
  <si>
    <t>57,735 V
0,5 A
PF 1
-90 derece</t>
  </si>
  <si>
    <t>57,735 V
0,25 A
PF 1
-90 derece</t>
  </si>
  <si>
    <t>57,735 V
0,1 A
PF 1
-90 derece</t>
  </si>
  <si>
    <t>72,1688 V
0,05 A
PF 1
-90 derece</t>
  </si>
  <si>
    <t>57,735 V
2,5 A
PF 1
0 derece</t>
  </si>
  <si>
    <t>57,735 V
1 A
PF 1
0 derece</t>
  </si>
  <si>
    <t>57,735 V
0,5 A
PF 1
0 derece</t>
  </si>
  <si>
    <t>57,735 V
0,25 A
PF 1
0 derece</t>
  </si>
  <si>
    <t>57,735 V
0,1 A
PF 1
0 derece</t>
  </si>
  <si>
    <t>72,1688 V
0,05 A
PF 1
0 derece</t>
  </si>
  <si>
    <t>ortalama</t>
  </si>
  <si>
    <t>std.sapma (%)</t>
  </si>
  <si>
    <t>Fider 1_Bağıl Hata (Hz)</t>
  </si>
  <si>
    <t>Fider 2_Bağıl Hata (Hz)</t>
  </si>
  <si>
    <t>A FAZI</t>
  </si>
  <si>
    <t>BELİRSİZLİK HESAPLAMASI (A FAZI)</t>
  </si>
  <si>
    <t>Uygulanan Değer</t>
  </si>
  <si>
    <t>Fider 1</t>
  </si>
  <si>
    <t>Fider 2</t>
  </si>
  <si>
    <t>Std. Sapma (%)</t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</si>
  <si>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A </t>
    </r>
    <r>
      <rPr>
        <b/>
        <sz val="9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</si>
  <si>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6105A </t>
    </r>
    <r>
      <rPr>
        <b/>
        <sz val="9"/>
        <color theme="1"/>
        <rFont val="Arial"/>
        <family val="2"/>
        <charset val="162"/>
      </rPr>
      <t>(%)</t>
    </r>
  </si>
  <si>
    <r>
      <t>u'</t>
    </r>
    <r>
      <rPr>
        <b/>
        <vertAlign val="subscript"/>
        <sz val="9"/>
        <color theme="1"/>
        <rFont val="Arial"/>
        <family val="2"/>
        <charset val="162"/>
      </rPr>
      <t xml:space="preserve">6105A </t>
    </r>
    <r>
      <rPr>
        <b/>
        <sz val="9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</si>
  <si>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çöz </t>
    </r>
    <r>
      <rPr>
        <b/>
        <sz val="9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</si>
  <si>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(%)</t>
    </r>
  </si>
  <si>
    <t>B FAZI</t>
  </si>
  <si>
    <t>BELİRSİZLİK HESAPLAMASI (B FAZI)</t>
  </si>
  <si>
    <t>C FAZI</t>
  </si>
  <si>
    <t>BELİRSİZLİK HESAPLAMASI (C FAZI)</t>
  </si>
  <si>
    <t>AKTİF GÜÇ</t>
  </si>
  <si>
    <t>REAKTİF GÜÇ</t>
  </si>
  <si>
    <r>
      <t>u</t>
    </r>
    <r>
      <rPr>
        <b/>
        <vertAlign val="subscript"/>
        <sz val="10"/>
        <color theme="1"/>
        <rFont val="Arial"/>
        <family val="2"/>
        <charset val="162"/>
      </rPr>
      <t xml:space="preserve">A </t>
    </r>
    <r>
      <rPr>
        <b/>
        <sz val="10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</si>
  <si>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10"/>
        <color theme="1"/>
        <rFont val="Arial"/>
        <family val="2"/>
        <charset val="162"/>
      </rPr>
      <t xml:space="preserve">6105A </t>
    </r>
    <r>
      <rPr>
        <b/>
        <sz val="10"/>
        <color theme="1"/>
        <rFont val="Arial"/>
        <family val="2"/>
        <charset val="162"/>
      </rPr>
      <t>(%)</t>
    </r>
  </si>
  <si>
    <r>
      <t>u'</t>
    </r>
    <r>
      <rPr>
        <b/>
        <vertAlign val="subscript"/>
        <sz val="10"/>
        <color theme="1"/>
        <rFont val="Arial"/>
        <family val="2"/>
        <charset val="162"/>
      </rPr>
      <t xml:space="preserve">6105A </t>
    </r>
    <r>
      <rPr>
        <b/>
        <sz val="10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</si>
  <si>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10"/>
        <color theme="1"/>
        <rFont val="Arial"/>
        <family val="2"/>
        <charset val="162"/>
      </rPr>
      <t xml:space="preserve">çöz </t>
    </r>
    <r>
      <rPr>
        <b/>
        <sz val="10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</si>
  <si>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10"/>
        <color theme="1"/>
        <rFont val="Arial"/>
        <family val="2"/>
        <charset val="162"/>
      </rPr>
      <t xml:space="preserve">C </t>
    </r>
    <r>
      <rPr>
        <b/>
        <sz val="10"/>
        <color theme="1"/>
        <rFont val="Arial"/>
        <family val="2"/>
        <charset val="162"/>
      </rPr>
      <t>(%)</t>
    </r>
  </si>
  <si>
    <t>FREKANS</t>
  </si>
  <si>
    <t>BELİRSİZLİK HESAPLAMASI</t>
  </si>
  <si>
    <t>HARMONİK AKIM</t>
  </si>
  <si>
    <t xml:space="preserve">Uygulanan Değer </t>
  </si>
  <si>
    <t>Hz</t>
  </si>
  <si>
    <t>HARMONİK GERİLİM</t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</si>
  <si>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(mV)</t>
    </r>
  </si>
  <si>
    <t>Fider 2 (mV)</t>
  </si>
  <si>
    <t>Fider 1 (mV)</t>
  </si>
  <si>
    <t>Fider 1 (mA)</t>
  </si>
  <si>
    <t>Fider 2 (mA)</t>
  </si>
  <si>
    <t>Hata</t>
  </si>
  <si>
    <t>Fider 1 (W)</t>
  </si>
  <si>
    <t>Fider 2 (W)</t>
  </si>
  <si>
    <t>Fider 1 (Var)</t>
  </si>
  <si>
    <t>Fider 2 (Var)</t>
  </si>
  <si>
    <t>Fider 2 (Hz)</t>
  </si>
  <si>
    <t>Fider 1 (Hz)</t>
  </si>
  <si>
    <t>Harmonik Genliği (V)</t>
  </si>
  <si>
    <t>Harmonik Genliği (A)</t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</si>
  <si>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(mA)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</si>
  <si>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(W)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</si>
  <si>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(Var)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</si>
  <si>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(Hz)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</si>
  <si>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C </t>
    </r>
    <r>
      <rPr>
        <b/>
        <sz val="9"/>
        <color theme="1"/>
        <rFont val="Arial"/>
        <family val="2"/>
        <charset val="162"/>
      </rPr>
      <t>(Pst)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</si>
  <si>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6105A </t>
    </r>
    <r>
      <rPr>
        <b/>
        <sz val="9"/>
        <color theme="1"/>
        <rFont val="Arial"/>
        <family val="2"/>
        <charset val="162"/>
      </rPr>
      <t>(mA)</t>
    </r>
  </si>
  <si>
    <t>Std. Sapma (mA)</t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</si>
  <si>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A </t>
    </r>
    <r>
      <rPr>
        <b/>
        <sz val="9"/>
        <color theme="1"/>
        <rFont val="Arial"/>
        <family val="2"/>
        <charset val="162"/>
      </rPr>
      <t>(mA)</t>
    </r>
  </si>
  <si>
    <r>
      <t>u'</t>
    </r>
    <r>
      <rPr>
        <b/>
        <vertAlign val="subscript"/>
        <sz val="9"/>
        <color theme="1"/>
        <rFont val="Arial"/>
        <family val="2"/>
        <charset val="162"/>
      </rPr>
      <t xml:space="preserve">6105A </t>
    </r>
    <r>
      <rPr>
        <b/>
        <sz val="9"/>
        <color theme="1"/>
        <rFont val="Arial"/>
        <family val="2"/>
        <charset val="162"/>
      </rPr>
      <t>(mA)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</si>
  <si>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çöz </t>
    </r>
    <r>
      <rPr>
        <b/>
        <sz val="9"/>
        <color theme="1"/>
        <rFont val="Arial"/>
        <family val="2"/>
        <charset val="162"/>
      </rPr>
      <t>(mA)</t>
    </r>
  </si>
  <si>
    <t>Std. Sapma (mV)</t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</si>
  <si>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A </t>
    </r>
    <r>
      <rPr>
        <b/>
        <sz val="9"/>
        <color theme="1"/>
        <rFont val="Arial"/>
        <family val="2"/>
        <charset val="162"/>
      </rPr>
      <t>(mV)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</si>
  <si>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6105A </t>
    </r>
    <r>
      <rPr>
        <b/>
        <sz val="9"/>
        <color theme="1"/>
        <rFont val="Arial"/>
        <family val="2"/>
        <charset val="162"/>
      </rPr>
      <t>(mV)</t>
    </r>
  </si>
  <si>
    <r>
      <t>u'</t>
    </r>
    <r>
      <rPr>
        <b/>
        <vertAlign val="subscript"/>
        <sz val="9"/>
        <color theme="1"/>
        <rFont val="Arial"/>
        <family val="2"/>
        <charset val="162"/>
      </rPr>
      <t xml:space="preserve">6105A </t>
    </r>
    <r>
      <rPr>
        <b/>
        <sz val="9"/>
        <color theme="1"/>
        <rFont val="Arial"/>
        <family val="2"/>
        <charset val="162"/>
      </rPr>
      <t>(mV)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</si>
  <si>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çöz </t>
    </r>
    <r>
      <rPr>
        <b/>
        <sz val="9"/>
        <color theme="1"/>
        <rFont val="Arial"/>
        <family val="2"/>
        <charset val="162"/>
      </rPr>
      <t>(mV)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</si>
  <si>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6105A_mod.fr </t>
    </r>
    <r>
      <rPr>
        <b/>
        <sz val="9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</si>
  <si>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6105A_mod.der </t>
    </r>
    <r>
      <rPr>
        <b/>
        <sz val="9"/>
        <color theme="1"/>
        <rFont val="Arial"/>
        <family val="2"/>
        <charset val="162"/>
      </rPr>
      <t>(%)</t>
    </r>
  </si>
  <si>
    <r>
      <t>u</t>
    </r>
    <r>
      <rPr>
        <b/>
        <vertAlign val="subscript"/>
        <sz val="9"/>
        <color theme="1"/>
        <rFont val="Arial"/>
        <family val="2"/>
        <charset val="162"/>
      </rPr>
      <t xml:space="preserve">6105A_ind </t>
    </r>
    <r>
      <rPr>
        <b/>
        <sz val="9"/>
        <color theme="1"/>
        <rFont val="Arial"/>
        <family val="2"/>
        <charset val="162"/>
      </rPr>
      <t>(%)</t>
    </r>
  </si>
  <si>
    <t>GKÇ manual</t>
  </si>
  <si>
    <t>Standart</t>
  </si>
  <si>
    <t>GKÇ belirsizlik (mV)</t>
  </si>
  <si>
    <t>Durum (GKÇ manual)</t>
  </si>
  <si>
    <t>Durum (Standart)</t>
  </si>
  <si>
    <t>GKÇ belirsizlik (mA)</t>
  </si>
  <si>
    <t>GKÇ belirsizlik (W)</t>
  </si>
  <si>
    <t>GKÇ belirsizlik (Hz)</t>
  </si>
  <si>
    <t>GKÇ belirsizlik (Pst)</t>
  </si>
  <si>
    <t>FLICKER</t>
  </si>
  <si>
    <t>GKÇ belirsizlik (Var)</t>
  </si>
  <si>
    <t>6. ölçüm</t>
  </si>
  <si>
    <t>7. ölçüm</t>
  </si>
  <si>
    <t>8. ölçüm</t>
  </si>
  <si>
    <t>9. ölçüm</t>
  </si>
  <si>
    <t>10. ölçüm</t>
  </si>
  <si>
    <t>57,735 V</t>
  </si>
  <si>
    <t>72,1688 V</t>
  </si>
  <si>
    <t>1-40 harmonik arası</t>
  </si>
  <si>
    <t>40-50 harmonik arası</t>
  </si>
  <si>
    <t>V=57,735 V</t>
  </si>
  <si>
    <t>2,5 A</t>
  </si>
  <si>
    <t>0,5 A</t>
  </si>
  <si>
    <t>0,25 A</t>
  </si>
  <si>
    <t>0,1 A</t>
  </si>
  <si>
    <t>0,05 A</t>
  </si>
  <si>
    <t xml:space="preserve"> 5 A</t>
  </si>
  <si>
    <t>1 A</t>
  </si>
  <si>
    <t>U1 (V)</t>
  </si>
  <si>
    <t>U2 (V)</t>
  </si>
  <si>
    <t>U3 (V)</t>
  </si>
  <si>
    <t>U1 (mV)</t>
  </si>
  <si>
    <t>U2 (mV)</t>
  </si>
  <si>
    <t>U3 (mV)</t>
  </si>
  <si>
    <t>Fider 1_Bağıl Hata</t>
  </si>
  <si>
    <t>Fider 2_Bağıl Hata</t>
  </si>
  <si>
    <t>I1 (mA)</t>
  </si>
  <si>
    <t>I2 (mA)</t>
  </si>
  <si>
    <t>I3 (mA)</t>
  </si>
  <si>
    <t>Akım (A)</t>
  </si>
  <si>
    <t>I1 (A)</t>
  </si>
  <si>
    <t>I2 (A)</t>
  </si>
  <si>
    <t>I3 (A)</t>
  </si>
  <si>
    <t>Aktif Güç (W)</t>
  </si>
  <si>
    <t>Görünür Güç (VA)</t>
  </si>
  <si>
    <t>Aktif Güç (Var)</t>
  </si>
  <si>
    <t>P1 (W)</t>
  </si>
  <si>
    <t>P2 (W)</t>
  </si>
  <si>
    <t>P3 (W)</t>
  </si>
  <si>
    <t>P1  (W)</t>
  </si>
  <si>
    <t>Q1 (Var)</t>
  </si>
  <si>
    <t>Q2 (Var)</t>
  </si>
  <si>
    <t>Q3 (Var)</t>
  </si>
  <si>
    <t>Reaktif Güç (Var)</t>
  </si>
  <si>
    <t>AC GERİLİM</t>
  </si>
  <si>
    <t>AC AKIM</t>
  </si>
  <si>
    <t>Uygulanan Değer (V)
(Fluke 6105A)</t>
  </si>
  <si>
    <t>U1 (%)</t>
  </si>
  <si>
    <t>Standart Sapma</t>
  </si>
  <si>
    <t>U2 (%)</t>
  </si>
  <si>
    <t>U3 (%)</t>
  </si>
  <si>
    <t>I1 (%)</t>
  </si>
  <si>
    <t>I2 (%)</t>
  </si>
  <si>
    <t>I3 (%)</t>
  </si>
  <si>
    <t>U1 (Pst)</t>
  </si>
  <si>
    <t>U2 (Pst)</t>
  </si>
  <si>
    <t>U3 (Pst)</t>
  </si>
  <si>
    <t>Fider 1_Ölçülen Değer</t>
  </si>
  <si>
    <t>cpm</t>
  </si>
  <si>
    <t>Dakikadaki Gerilim Değişimi (cpm)</t>
  </si>
  <si>
    <t>Modülasyon Derinliği (DV/V) (%)</t>
  </si>
  <si>
    <t>Ölçülen Değer</t>
  </si>
  <si>
    <t>Fider 1 (Pst)</t>
  </si>
  <si>
    <t>Fider 2 (Pst)</t>
  </si>
  <si>
    <t>Modülasyon Derinliği (DV/V) %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</si>
</sst>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00000"/>
    <numFmt numFmtId="166" formatCode="0.00000"/>
    <numFmt numFmtId="167" formatCode="m/d/yy\ h:mm"/>
    <numFmt numFmtId="168" formatCode="0.000"/>
    <numFmt numFmtId="169" formatCode="0.0"/>
  </numFmts>
  <fonts count="22">
    <font>
      <sz val="11"/>
      <color theme="1"/>
      <name val="Calibri"/>
      <family val="2"/>
      <charset val="162"/>
      <scheme val="minor"/>
    </font>
    <font>
      <b/>
      <sz val="10"/>
      <name val="Arial"/>
      <family val="2"/>
      <charset val="162"/>
    </font>
    <font>
      <sz val="9"/>
      <color theme="1"/>
      <name val="Arial"/>
      <family val="2"/>
      <charset val="162"/>
    </font>
    <font>
      <b/>
      <sz val="9"/>
      <name val="Arial"/>
      <family val="2"/>
      <charset val="162"/>
    </font>
    <font>
      <b/>
      <sz val="9"/>
      <color indexed="10"/>
      <name val="Arial"/>
      <family val="2"/>
      <charset val="162"/>
    </font>
    <font>
      <sz val="9"/>
      <name val="Arial"/>
      <family val="2"/>
      <charset val="162"/>
    </font>
    <font>
      <b/>
      <sz val="10"/>
      <color rgb="FF0000FF"/>
      <name val="Arial"/>
      <family val="2"/>
      <charset val="162"/>
    </font>
    <font>
      <b/>
      <sz val="8"/>
      <color theme="1"/>
      <name val="Arial"/>
      <family val="2"/>
      <charset val="162"/>
    </font>
    <font>
      <sz val="12"/>
      <color rgb="FFFF0000"/>
      <name val="Arial"/>
      <family val="2"/>
      <charset val="162"/>
    </font>
    <font>
      <sz val="11"/>
      <color theme="1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color theme="1"/>
      <name val="Arial"/>
      <family val="2"/>
      <charset val="162"/>
    </font>
    <font>
      <b/>
      <sz val="9"/>
      <color rgb="FFFF0000"/>
      <name val="Arial"/>
      <family val="2"/>
      <charset val="162"/>
    </font>
    <font>
      <b/>
      <sz val="9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vertAlign val="subscript"/>
      <sz val="9"/>
      <color theme="1"/>
      <name val="Arial"/>
      <family val="2"/>
      <charset val="162"/>
    </font>
    <font>
      <b/>
      <vertAlign val="subscript"/>
      <sz val="10"/>
      <color theme="1"/>
      <name val="Arial"/>
      <family val="2"/>
      <charset val="162"/>
    </font>
    <font>
      <b/>
      <sz val="8"/>
      <color indexed="81"/>
      <name val="Tahoma"/>
      <family val="2"/>
      <charset val="162"/>
    </font>
    <font>
      <sz val="8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sz val="9"/>
      <color rgb="FFFF0000"/>
      <name val="Arial"/>
      <family val="2"/>
      <charset val="16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D5FF"/>
        <bgColor indexed="64"/>
      </patternFill>
    </fill>
    <fill>
      <patternFill patternType="solid">
        <fgColor rgb="FFFFFFA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rgb="FFFFEBFF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4BFF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60">
    <xf numFmtId="0" fontId="0" fillId="0" borderId="0" xfId="0"/>
    <xf numFmtId="0" fontId="2" fillId="0" borderId="0" xfId="0" applyFont="1"/>
    <xf numFmtId="166" fontId="5" fillId="2" borderId="5" xfId="0" applyNumberFormat="1" applyFont="1" applyFill="1" applyBorder="1" applyAlignment="1">
      <alignment horizontal="center" vertical="center"/>
    </xf>
    <xf numFmtId="168" fontId="5" fillId="2" borderId="5" xfId="0" applyNumberFormat="1" applyFon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6" fontId="5" fillId="2" borderId="11" xfId="0" applyNumberFormat="1" applyFont="1" applyFill="1" applyBorder="1" applyAlignment="1">
      <alignment horizontal="center" vertical="center"/>
    </xf>
    <xf numFmtId="168" fontId="5" fillId="2" borderId="11" xfId="0" applyNumberFormat="1" applyFont="1" applyFill="1" applyBorder="1" applyAlignment="1">
      <alignment horizontal="center" vertical="center"/>
    </xf>
    <xf numFmtId="169" fontId="5" fillId="2" borderId="11" xfId="0" applyNumberFormat="1" applyFont="1" applyFill="1" applyBorder="1" applyAlignment="1">
      <alignment horizontal="center" vertical="center"/>
    </xf>
    <xf numFmtId="0" fontId="2" fillId="0" borderId="11" xfId="0" applyFont="1" applyBorder="1"/>
    <xf numFmtId="168" fontId="5" fillId="2" borderId="4" xfId="0" applyNumberFormat="1" applyFont="1" applyFill="1" applyBorder="1" applyAlignment="1">
      <alignment horizontal="center" vertical="center"/>
    </xf>
    <xf numFmtId="1" fontId="5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0" fontId="2" fillId="0" borderId="5" xfId="0" applyFont="1" applyBorder="1"/>
    <xf numFmtId="0" fontId="2" fillId="0" borderId="7" xfId="0" applyFont="1" applyBorder="1"/>
    <xf numFmtId="0" fontId="2" fillId="0" borderId="12" xfId="0" applyFont="1" applyBorder="1"/>
    <xf numFmtId="166" fontId="5" fillId="2" borderId="13" xfId="0" applyNumberFormat="1" applyFont="1" applyFill="1" applyBorder="1" applyAlignment="1">
      <alignment horizontal="center" vertical="center"/>
    </xf>
    <xf numFmtId="166" fontId="5" fillId="2" borderId="14" xfId="0" applyNumberFormat="1" applyFont="1" applyFill="1" applyBorder="1" applyAlignment="1">
      <alignment horizontal="center" vertical="center"/>
    </xf>
    <xf numFmtId="168" fontId="5" fillId="2" borderId="14" xfId="0" applyNumberFormat="1" applyFont="1" applyFill="1" applyBorder="1" applyAlignment="1">
      <alignment horizontal="center" vertical="center"/>
    </xf>
    <xf numFmtId="0" fontId="2" fillId="0" borderId="14" xfId="0" applyFont="1" applyBorder="1"/>
    <xf numFmtId="0" fontId="2" fillId="0" borderId="15" xfId="0" applyFont="1" applyBorder="1"/>
    <xf numFmtId="169" fontId="5" fillId="2" borderId="16" xfId="0" applyNumberFormat="1" applyFont="1" applyFill="1" applyBorder="1" applyAlignment="1">
      <alignment horizontal="center" vertical="center"/>
    </xf>
    <xf numFmtId="169" fontId="5" fillId="2" borderId="14" xfId="0" applyNumberFormat="1" applyFont="1" applyFill="1" applyBorder="1" applyAlignment="1">
      <alignment horizontal="center" vertical="center"/>
    </xf>
    <xf numFmtId="167" fontId="3" fillId="4" borderId="4" xfId="0" applyNumberFormat="1" applyFont="1" applyFill="1" applyBorder="1" applyAlignment="1">
      <alignment horizontal="center" vertical="center"/>
    </xf>
    <xf numFmtId="167" fontId="3" fillId="4" borderId="5" xfId="0" applyNumberFormat="1" applyFont="1" applyFill="1" applyBorder="1" applyAlignment="1">
      <alignment horizontal="center" vertical="center"/>
    </xf>
    <xf numFmtId="167" fontId="3" fillId="4" borderId="7" xfId="0" applyNumberFormat="1" applyFont="1" applyFill="1" applyBorder="1" applyAlignment="1">
      <alignment horizontal="center" vertical="center"/>
    </xf>
    <xf numFmtId="168" fontId="4" fillId="4" borderId="10" xfId="0" applyNumberFormat="1" applyFont="1" applyFill="1" applyBorder="1" applyAlignment="1">
      <alignment horizontal="center" vertical="center"/>
    </xf>
    <xf numFmtId="168" fontId="4" fillId="4" borderId="11" xfId="0" applyNumberFormat="1" applyFont="1" applyFill="1" applyBorder="1" applyAlignment="1">
      <alignment horizontal="center" vertical="center"/>
    </xf>
    <xf numFmtId="168" fontId="4" fillId="4" borderId="12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5" fontId="3" fillId="4" borderId="5" xfId="0" applyNumberFormat="1" applyFont="1" applyFill="1" applyBorder="1" applyAlignment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/>
    </xf>
    <xf numFmtId="164" fontId="3" fillId="4" borderId="5" xfId="0" applyNumberFormat="1" applyFont="1" applyFill="1" applyBorder="1" applyAlignment="1">
      <alignment horizontal="center" vertical="center"/>
    </xf>
    <xf numFmtId="168" fontId="4" fillId="4" borderId="17" xfId="0" applyNumberFormat="1" applyFont="1" applyFill="1" applyBorder="1" applyAlignment="1">
      <alignment horizontal="center" vertical="center"/>
    </xf>
    <xf numFmtId="0" fontId="8" fillId="0" borderId="0" xfId="0" applyFont="1"/>
    <xf numFmtId="169" fontId="5" fillId="2" borderId="5" xfId="0" applyNumberFormat="1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1" fontId="5" fillId="2" borderId="11" xfId="0" applyNumberFormat="1" applyFont="1" applyFill="1" applyBorder="1" applyAlignment="1">
      <alignment horizontal="center" vertical="center"/>
    </xf>
    <xf numFmtId="164" fontId="5" fillId="2" borderId="13" xfId="0" applyNumberFormat="1" applyFont="1" applyFill="1" applyBorder="1" applyAlignment="1">
      <alignment horizontal="center" vertical="center"/>
    </xf>
    <xf numFmtId="2" fontId="5" fillId="2" borderId="14" xfId="0" applyNumberFormat="1" applyFont="1" applyFill="1" applyBorder="1" applyAlignment="1">
      <alignment horizontal="center" vertical="center"/>
    </xf>
    <xf numFmtId="1" fontId="0" fillId="0" borderId="0" xfId="0" applyNumberFormat="1"/>
    <xf numFmtId="164" fontId="3" fillId="4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5" fillId="2" borderId="43" xfId="0" applyNumberFormat="1" applyFont="1" applyFill="1" applyBorder="1" applyAlignment="1">
      <alignment horizontal="center" vertical="center"/>
    </xf>
    <xf numFmtId="164" fontId="3" fillId="4" borderId="13" xfId="0" applyNumberFormat="1" applyFont="1" applyFill="1" applyBorder="1" applyAlignment="1">
      <alignment horizontal="center" vertical="center"/>
    </xf>
    <xf numFmtId="164" fontId="3" fillId="4" borderId="14" xfId="0" applyNumberFormat="1" applyFont="1" applyFill="1" applyBorder="1" applyAlignment="1">
      <alignment horizontal="center" vertical="center"/>
    </xf>
    <xf numFmtId="164" fontId="3" fillId="4" borderId="15" xfId="0" applyNumberFormat="1" applyFont="1" applyFill="1" applyBorder="1" applyAlignment="1">
      <alignment horizontal="center" vertical="center"/>
    </xf>
    <xf numFmtId="166" fontId="5" fillId="2" borderId="12" xfId="0" applyNumberFormat="1" applyFont="1" applyFill="1" applyBorder="1" applyAlignment="1">
      <alignment horizontal="center" vertical="center"/>
    </xf>
    <xf numFmtId="166" fontId="5" fillId="2" borderId="15" xfId="0" applyNumberFormat="1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1" fontId="5" fillId="2" borderId="13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166" fontId="3" fillId="2" borderId="7" xfId="0" applyNumberFormat="1" applyFont="1" applyFill="1" applyBorder="1" applyAlignment="1">
      <alignment horizontal="center" vertical="center"/>
    </xf>
    <xf numFmtId="166" fontId="3" fillId="2" borderId="11" xfId="0" applyNumberFormat="1" applyFont="1" applyFill="1" applyBorder="1" applyAlignment="1">
      <alignment horizontal="center" vertical="center"/>
    </xf>
    <xf numFmtId="166" fontId="3" fillId="2" borderId="12" xfId="0" applyNumberFormat="1" applyFont="1" applyFill="1" applyBorder="1" applyAlignment="1">
      <alignment horizontal="center" vertical="center"/>
    </xf>
    <xf numFmtId="166" fontId="3" fillId="2" borderId="14" xfId="0" applyNumberFormat="1" applyFont="1" applyFill="1" applyBorder="1" applyAlignment="1">
      <alignment horizontal="center" vertical="center"/>
    </xf>
    <xf numFmtId="166" fontId="3" fillId="2" borderId="15" xfId="0" applyNumberFormat="1" applyFont="1" applyFill="1" applyBorder="1" applyAlignment="1">
      <alignment horizontal="center" vertical="center"/>
    </xf>
    <xf numFmtId="164" fontId="3" fillId="4" borderId="26" xfId="0" applyNumberFormat="1" applyFont="1" applyFill="1" applyBorder="1" applyAlignment="1">
      <alignment horizontal="center" vertical="center"/>
    </xf>
    <xf numFmtId="164" fontId="3" fillId="4" borderId="27" xfId="0" applyNumberFormat="1" applyFont="1" applyFill="1" applyBorder="1" applyAlignment="1">
      <alignment horizontal="center" vertical="center"/>
    </xf>
    <xf numFmtId="164" fontId="3" fillId="4" borderId="36" xfId="0" applyNumberFormat="1" applyFont="1" applyFill="1" applyBorder="1" applyAlignment="1">
      <alignment horizontal="center" vertical="center"/>
    </xf>
    <xf numFmtId="1" fontId="5" fillId="2" borderId="25" xfId="0" applyNumberFormat="1" applyFont="1" applyFill="1" applyBorder="1" applyAlignment="1">
      <alignment horizontal="center" vertical="center"/>
    </xf>
    <xf numFmtId="166" fontId="5" fillId="2" borderId="9" xfId="0" applyNumberFormat="1" applyFont="1" applyFill="1" applyBorder="1" applyAlignment="1">
      <alignment horizontal="center" vertical="center"/>
    </xf>
    <xf numFmtId="164" fontId="3" fillId="4" borderId="50" xfId="0" applyNumberFormat="1" applyFont="1" applyFill="1" applyBorder="1" applyAlignment="1">
      <alignment horizontal="center" vertical="center" wrapText="1"/>
    </xf>
    <xf numFmtId="164" fontId="3" fillId="4" borderId="51" xfId="0" applyNumberFormat="1" applyFont="1" applyFill="1" applyBorder="1" applyAlignment="1">
      <alignment horizontal="center" vertical="center" wrapText="1"/>
    </xf>
    <xf numFmtId="164" fontId="3" fillId="3" borderId="39" xfId="0" applyNumberFormat="1" applyFont="1" applyFill="1" applyBorder="1" applyAlignment="1">
      <alignment horizontal="center" vertical="center"/>
    </xf>
    <xf numFmtId="164" fontId="3" fillId="3" borderId="53" xfId="0" applyNumberFormat="1" applyFont="1" applyFill="1" applyBorder="1" applyAlignment="1">
      <alignment horizontal="center" vertical="center"/>
    </xf>
    <xf numFmtId="166" fontId="5" fillId="2" borderId="42" xfId="0" applyNumberFormat="1" applyFont="1" applyFill="1" applyBorder="1" applyAlignment="1">
      <alignment horizontal="center" vertical="center"/>
    </xf>
    <xf numFmtId="166" fontId="5" fillId="2" borderId="45" xfId="0" applyNumberFormat="1" applyFont="1" applyFill="1" applyBorder="1" applyAlignment="1">
      <alignment horizontal="center" vertical="center"/>
    </xf>
    <xf numFmtId="164" fontId="3" fillId="4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64" fontId="3" fillId="4" borderId="25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167" fontId="3" fillId="3" borderId="13" xfId="0" applyNumberFormat="1" applyFont="1" applyFill="1" applyBorder="1" applyAlignment="1">
      <alignment horizontal="center" vertical="center"/>
    </xf>
    <xf numFmtId="167" fontId="3" fillId="3" borderId="14" xfId="0" applyNumberFormat="1" applyFont="1" applyFill="1" applyBorder="1" applyAlignment="1">
      <alignment horizontal="center" vertical="center"/>
    </xf>
    <xf numFmtId="167" fontId="3" fillId="3" borderId="15" xfId="0" applyNumberFormat="1" applyFont="1" applyFill="1" applyBorder="1" applyAlignment="1">
      <alignment horizontal="center" vertical="center"/>
    </xf>
    <xf numFmtId="168" fontId="5" fillId="2" borderId="10" xfId="0" applyNumberFormat="1" applyFont="1" applyFill="1" applyBorder="1" applyAlignment="1">
      <alignment horizontal="center" vertical="center"/>
    </xf>
    <xf numFmtId="168" fontId="5" fillId="2" borderId="13" xfId="0" applyNumberFormat="1" applyFont="1" applyFill="1" applyBorder="1" applyAlignment="1">
      <alignment horizontal="center" vertical="center"/>
    </xf>
    <xf numFmtId="1" fontId="5" fillId="2" borderId="14" xfId="0" applyNumberFormat="1" applyFont="1" applyFill="1" applyBorder="1" applyAlignment="1">
      <alignment horizontal="center" vertical="center"/>
    </xf>
    <xf numFmtId="2" fontId="5" fillId="2" borderId="5" xfId="0" applyNumberFormat="1" applyFont="1" applyFill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0" fontId="2" fillId="0" borderId="6" xfId="0" applyFont="1" applyBorder="1"/>
    <xf numFmtId="0" fontId="2" fillId="0" borderId="17" xfId="0" applyFont="1" applyBorder="1"/>
    <xf numFmtId="0" fontId="2" fillId="0" borderId="18" xfId="0" applyFont="1" applyBorder="1"/>
    <xf numFmtId="164" fontId="3" fillId="4" borderId="7" xfId="0" applyNumberFormat="1" applyFont="1" applyFill="1" applyBorder="1" applyAlignment="1">
      <alignment horizontal="center" vertical="center"/>
    </xf>
    <xf numFmtId="168" fontId="5" fillId="2" borderId="7" xfId="0" applyNumberFormat="1" applyFont="1" applyFill="1" applyBorder="1" applyAlignment="1">
      <alignment horizontal="center" vertical="center"/>
    </xf>
    <xf numFmtId="168" fontId="5" fillId="2" borderId="12" xfId="0" applyNumberFormat="1" applyFont="1" applyFill="1" applyBorder="1" applyAlignment="1">
      <alignment horizontal="center" vertical="center"/>
    </xf>
    <xf numFmtId="168" fontId="5" fillId="2" borderId="15" xfId="0" applyNumberFormat="1" applyFont="1" applyFill="1" applyBorder="1" applyAlignment="1">
      <alignment horizontal="center" vertical="center"/>
    </xf>
    <xf numFmtId="164" fontId="3" fillId="4" borderId="9" xfId="0" applyNumberFormat="1" applyFont="1" applyFill="1" applyBorder="1" applyAlignment="1">
      <alignment horizontal="center" vertical="center"/>
    </xf>
    <xf numFmtId="169" fontId="3" fillId="3" borderId="4" xfId="0" applyNumberFormat="1" applyFont="1" applyFill="1" applyBorder="1" applyAlignment="1">
      <alignment horizontal="center" vertical="center"/>
    </xf>
    <xf numFmtId="169" fontId="3" fillId="3" borderId="5" xfId="0" applyNumberFormat="1" applyFont="1" applyFill="1" applyBorder="1" applyAlignment="1">
      <alignment horizontal="center" vertical="center"/>
    </xf>
    <xf numFmtId="169" fontId="3" fillId="3" borderId="7" xfId="0" applyNumberFormat="1" applyFont="1" applyFill="1" applyBorder="1" applyAlignment="1">
      <alignment horizontal="center" vertical="center"/>
    </xf>
    <xf numFmtId="169" fontId="2" fillId="0" borderId="0" xfId="0" applyNumberFormat="1" applyFont="1"/>
    <xf numFmtId="169" fontId="1" fillId="3" borderId="56" xfId="0" applyNumberFormat="1" applyFont="1" applyFill="1" applyBorder="1" applyAlignment="1">
      <alignment horizontal="center" vertical="center" wrapText="1"/>
    </xf>
    <xf numFmtId="169" fontId="3" fillId="3" borderId="57" xfId="0" applyNumberFormat="1" applyFont="1" applyFill="1" applyBorder="1" applyAlignment="1">
      <alignment horizontal="center" vertical="center"/>
    </xf>
    <xf numFmtId="167" fontId="3" fillId="4" borderId="33" xfId="0" applyNumberFormat="1" applyFont="1" applyFill="1" applyBorder="1" applyAlignment="1">
      <alignment horizontal="center" vertical="center"/>
    </xf>
    <xf numFmtId="168" fontId="4" fillId="4" borderId="34" xfId="0" applyNumberFormat="1" applyFont="1" applyFill="1" applyBorder="1" applyAlignment="1">
      <alignment horizontal="center" vertical="center"/>
    </xf>
    <xf numFmtId="164" fontId="1" fillId="4" borderId="19" xfId="0" applyNumberFormat="1" applyFont="1" applyFill="1" applyBorder="1" applyAlignment="1">
      <alignment horizontal="center" vertical="center" wrapText="1"/>
    </xf>
    <xf numFmtId="167" fontId="3" fillId="4" borderId="49" xfId="0" applyNumberFormat="1" applyFont="1" applyFill="1" applyBorder="1" applyAlignment="1">
      <alignment horizontal="center" vertical="center"/>
    </xf>
    <xf numFmtId="168" fontId="4" fillId="4" borderId="48" xfId="0" applyNumberFormat="1" applyFont="1" applyFill="1" applyBorder="1" applyAlignment="1">
      <alignment horizontal="center" vertical="center"/>
    </xf>
    <xf numFmtId="164" fontId="1" fillId="4" borderId="21" xfId="0" applyNumberFormat="1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164" fontId="3" fillId="4" borderId="60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166" fontId="3" fillId="2" borderId="13" xfId="0" applyNumberFormat="1" applyFont="1" applyFill="1" applyBorder="1" applyAlignment="1">
      <alignment horizontal="center" vertical="center"/>
    </xf>
    <xf numFmtId="164" fontId="3" fillId="3" borderId="62" xfId="0" applyNumberFormat="1" applyFont="1" applyFill="1" applyBorder="1" applyAlignment="1">
      <alignment horizontal="center" vertical="center"/>
    </xf>
    <xf numFmtId="166" fontId="5" fillId="2" borderId="16" xfId="0" applyNumberFormat="1" applyFont="1" applyFill="1" applyBorder="1" applyAlignment="1">
      <alignment horizontal="center" vertical="center"/>
    </xf>
    <xf numFmtId="168" fontId="5" fillId="2" borderId="16" xfId="0" applyNumberFormat="1" applyFont="1" applyFill="1" applyBorder="1" applyAlignment="1">
      <alignment horizontal="center" vertical="center"/>
    </xf>
    <xf numFmtId="0" fontId="2" fillId="0" borderId="16" xfId="0" applyFont="1" applyBorder="1"/>
    <xf numFmtId="0" fontId="2" fillId="0" borderId="9" xfId="0" applyFont="1" applyBorder="1"/>
    <xf numFmtId="168" fontId="2" fillId="0" borderId="0" xfId="0" applyNumberFormat="1" applyFont="1"/>
    <xf numFmtId="168" fontId="4" fillId="4" borderId="32" xfId="0" applyNumberFormat="1" applyFont="1" applyFill="1" applyBorder="1" applyAlignment="1">
      <alignment horizontal="center" vertical="center"/>
    </xf>
    <xf numFmtId="168" fontId="4" fillId="4" borderId="31" xfId="0" applyNumberFormat="1" applyFont="1" applyFill="1" applyBorder="1" applyAlignment="1">
      <alignment horizontal="center" vertical="center"/>
    </xf>
    <xf numFmtId="168" fontId="4" fillId="4" borderId="28" xfId="0" applyNumberFormat="1" applyFont="1" applyFill="1" applyBorder="1" applyAlignment="1">
      <alignment horizontal="center" vertical="center"/>
    </xf>
    <xf numFmtId="168" fontId="4" fillId="4" borderId="13" xfId="0" applyNumberFormat="1" applyFont="1" applyFill="1" applyBorder="1" applyAlignment="1">
      <alignment horizontal="center" vertical="center"/>
    </xf>
    <xf numFmtId="168" fontId="4" fillId="4" borderId="14" xfId="0" applyNumberFormat="1" applyFont="1" applyFill="1" applyBorder="1" applyAlignment="1">
      <alignment horizontal="center" vertical="center"/>
    </xf>
    <xf numFmtId="168" fontId="12" fillId="4" borderId="14" xfId="0" applyNumberFormat="1" applyFont="1" applyFill="1" applyBorder="1" applyAlignment="1">
      <alignment horizontal="center" vertical="center"/>
    </xf>
    <xf numFmtId="168" fontId="12" fillId="4" borderId="15" xfId="0" applyNumberFormat="1" applyFont="1" applyFill="1" applyBorder="1" applyAlignment="1">
      <alignment horizontal="center" vertical="center"/>
    </xf>
    <xf numFmtId="168" fontId="5" fillId="2" borderId="17" xfId="0" applyNumberFormat="1" applyFont="1" applyFill="1" applyBorder="1" applyAlignment="1">
      <alignment horizontal="center" vertical="center"/>
    </xf>
    <xf numFmtId="168" fontId="5" fillId="2" borderId="18" xfId="0" applyNumberFormat="1" applyFont="1" applyFill="1" applyBorder="1" applyAlignment="1">
      <alignment horizontal="center" vertical="center"/>
    </xf>
    <xf numFmtId="168" fontId="4" fillId="3" borderId="10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4" fillId="3" borderId="12" xfId="0" applyNumberFormat="1" applyFont="1" applyFill="1" applyBorder="1" applyAlignment="1">
      <alignment horizontal="center" vertical="center"/>
    </xf>
    <xf numFmtId="168" fontId="4" fillId="4" borderId="54" xfId="0" applyNumberFormat="1" applyFont="1" applyFill="1" applyBorder="1" applyAlignment="1">
      <alignment horizontal="center" vertical="center"/>
    </xf>
    <xf numFmtId="168" fontId="4" fillId="4" borderId="59" xfId="0" applyNumberFormat="1" applyFont="1" applyFill="1" applyBorder="1" applyAlignment="1">
      <alignment horizontal="center" vertical="center"/>
    </xf>
    <xf numFmtId="168" fontId="4" fillId="4" borderId="35" xfId="0" applyNumberFormat="1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64" fontId="4" fillId="3" borderId="34" xfId="0" applyNumberFormat="1" applyFont="1" applyFill="1" applyBorder="1" applyAlignment="1">
      <alignment horizontal="center" vertical="center"/>
    </xf>
    <xf numFmtId="164" fontId="4" fillId="3" borderId="58" xfId="0" applyNumberFormat="1" applyFont="1" applyFill="1" applyBorder="1" applyAlignment="1">
      <alignment horizontal="center" vertical="center"/>
    </xf>
    <xf numFmtId="164" fontId="2" fillId="0" borderId="33" xfId="0" applyNumberFormat="1" applyFont="1" applyBorder="1" applyAlignment="1">
      <alignment horizontal="center" vertical="center"/>
    </xf>
    <xf numFmtId="164" fontId="2" fillId="0" borderId="34" xfId="0" applyNumberFormat="1" applyFont="1" applyBorder="1" applyAlignment="1">
      <alignment horizontal="center" vertical="center"/>
    </xf>
    <xf numFmtId="164" fontId="2" fillId="0" borderId="63" xfId="0" applyNumberFormat="1" applyFont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  <xf numFmtId="2" fontId="2" fillId="2" borderId="7" xfId="0" applyNumberFormat="1" applyFont="1" applyFill="1" applyBorder="1" applyAlignment="1">
      <alignment horizontal="center"/>
    </xf>
    <xf numFmtId="2" fontId="2" fillId="2" borderId="42" xfId="0" applyNumberFormat="1" applyFont="1" applyFill="1" applyBorder="1" applyAlignment="1">
      <alignment horizontal="center"/>
    </xf>
    <xf numFmtId="2" fontId="2" fillId="2" borderId="10" xfId="0" applyNumberFormat="1" applyFont="1" applyFill="1" applyBorder="1" applyAlignment="1">
      <alignment horizontal="center"/>
    </xf>
    <xf numFmtId="2" fontId="2" fillId="2" borderId="11" xfId="0" applyNumberFormat="1" applyFont="1" applyFill="1" applyBorder="1" applyAlignment="1">
      <alignment horizontal="center"/>
    </xf>
    <xf numFmtId="2" fontId="2" fillId="2" borderId="12" xfId="0" applyNumberFormat="1" applyFont="1" applyFill="1" applyBorder="1" applyAlignment="1">
      <alignment horizontal="center"/>
    </xf>
    <xf numFmtId="2" fontId="2" fillId="2" borderId="43" xfId="0" applyNumberFormat="1" applyFont="1" applyFill="1" applyBorder="1" applyAlignment="1">
      <alignment horizontal="center"/>
    </xf>
    <xf numFmtId="2" fontId="2" fillId="2" borderId="13" xfId="0" applyNumberFormat="1" applyFont="1" applyFill="1" applyBorder="1" applyAlignment="1">
      <alignment horizontal="center"/>
    </xf>
    <xf numFmtId="2" fontId="2" fillId="2" borderId="14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166" fontId="5" fillId="2" borderId="7" xfId="0" applyNumberFormat="1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167" fontId="3" fillId="4" borderId="6" xfId="0" applyNumberFormat="1" applyFont="1" applyFill="1" applyBorder="1" applyAlignment="1">
      <alignment horizontal="center" vertical="center"/>
    </xf>
    <xf numFmtId="168" fontId="12" fillId="4" borderId="18" xfId="0" applyNumberFormat="1" applyFont="1" applyFill="1" applyBorder="1" applyAlignment="1">
      <alignment horizontal="center" vertical="center"/>
    </xf>
    <xf numFmtId="168" fontId="5" fillId="2" borderId="25" xfId="0" applyNumberFormat="1" applyFont="1" applyFill="1" applyBorder="1" applyAlignment="1">
      <alignment horizontal="center" vertical="center"/>
    </xf>
    <xf numFmtId="168" fontId="5" fillId="2" borderId="8" xfId="0" applyNumberFormat="1" applyFont="1" applyFill="1" applyBorder="1" applyAlignment="1">
      <alignment horizontal="center" vertical="center"/>
    </xf>
    <xf numFmtId="168" fontId="5" fillId="2" borderId="9" xfId="0" applyNumberFormat="1" applyFont="1" applyFill="1" applyBorder="1" applyAlignment="1">
      <alignment horizontal="center" vertical="center"/>
    </xf>
    <xf numFmtId="168" fontId="4" fillId="3" borderId="13" xfId="0" applyNumberFormat="1" applyFont="1" applyFill="1" applyBorder="1" applyAlignment="1">
      <alignment horizontal="center" vertical="center"/>
    </xf>
    <xf numFmtId="168" fontId="4" fillId="3" borderId="14" xfId="0" applyNumberFormat="1" applyFont="1" applyFill="1" applyBorder="1" applyAlignment="1">
      <alignment horizontal="center" vertical="center"/>
    </xf>
    <xf numFmtId="168" fontId="4" fillId="3" borderId="15" xfId="0" applyNumberFormat="1" applyFont="1" applyFill="1" applyBorder="1" applyAlignment="1">
      <alignment horizontal="center" vertical="center"/>
    </xf>
    <xf numFmtId="168" fontId="4" fillId="4" borderId="43" xfId="0" applyNumberFormat="1" applyFont="1" applyFill="1" applyBorder="1" applyAlignment="1">
      <alignment horizontal="center" vertical="center"/>
    </xf>
    <xf numFmtId="168" fontId="4" fillId="4" borderId="65" xfId="0" applyNumberFormat="1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/>
    </xf>
    <xf numFmtId="168" fontId="13" fillId="4" borderId="35" xfId="0" applyNumberFormat="1" applyFont="1" applyFill="1" applyBorder="1" applyAlignment="1">
      <alignment horizontal="center"/>
    </xf>
    <xf numFmtId="164" fontId="2" fillId="0" borderId="11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169" fontId="1" fillId="3" borderId="24" xfId="0" applyNumberFormat="1" applyFont="1" applyFill="1" applyBorder="1" applyAlignment="1">
      <alignment horizontal="center" vertical="center" wrapText="1"/>
    </xf>
    <xf numFmtId="169" fontId="3" fillId="3" borderId="61" xfId="0" applyNumberFormat="1" applyFont="1" applyFill="1" applyBorder="1" applyAlignment="1">
      <alignment horizontal="center" vertical="center"/>
    </xf>
    <xf numFmtId="164" fontId="4" fillId="3" borderId="63" xfId="0" applyNumberFormat="1" applyFont="1" applyFill="1" applyBorder="1" applyAlignment="1">
      <alignment horizontal="center" vertical="center"/>
    </xf>
    <xf numFmtId="164" fontId="2" fillId="0" borderId="5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164" fontId="13" fillId="0" borderId="12" xfId="0" applyNumberFormat="1" applyFont="1" applyBorder="1" applyAlignment="1">
      <alignment horizontal="center" vertical="center"/>
    </xf>
    <xf numFmtId="164" fontId="2" fillId="0" borderId="14" xfId="0" applyNumberFormat="1" applyFont="1" applyBorder="1" applyAlignment="1">
      <alignment horizontal="center" vertical="center"/>
    </xf>
    <xf numFmtId="164" fontId="2" fillId="2" borderId="14" xfId="0" applyNumberFormat="1" applyFont="1" applyFill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0" fillId="0" borderId="0" xfId="0" applyFont="1"/>
    <xf numFmtId="164" fontId="3" fillId="4" borderId="32" xfId="0" applyNumberFormat="1" applyFont="1" applyFill="1" applyBorder="1" applyAlignment="1">
      <alignment horizontal="center" vertical="center" wrapText="1"/>
    </xf>
    <xf numFmtId="164" fontId="3" fillId="4" borderId="65" xfId="0" applyNumberFormat="1" applyFont="1" applyFill="1" applyBorder="1" applyAlignment="1">
      <alignment horizontal="center" vertical="center" wrapText="1"/>
    </xf>
    <xf numFmtId="164" fontId="3" fillId="4" borderId="54" xfId="0" applyNumberFormat="1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2" fillId="0" borderId="16" xfId="0" applyNumberFormat="1" applyFont="1" applyBorder="1" applyAlignment="1">
      <alignment horizontal="center" vertical="center"/>
    </xf>
    <xf numFmtId="164" fontId="3" fillId="4" borderId="35" xfId="0" applyNumberFormat="1" applyFont="1" applyFill="1" applyBorder="1" applyAlignment="1">
      <alignment horizontal="center" vertical="center" wrapText="1"/>
    </xf>
    <xf numFmtId="164" fontId="3" fillId="4" borderId="13" xfId="0" applyNumberFormat="1" applyFont="1" applyFill="1" applyBorder="1" applyAlignment="1">
      <alignment horizontal="center" vertical="center" wrapText="1"/>
    </xf>
    <xf numFmtId="164" fontId="3" fillId="4" borderId="14" xfId="0" applyNumberFormat="1" applyFont="1" applyFill="1" applyBorder="1" applyAlignment="1">
      <alignment horizontal="center" vertical="center" wrapText="1"/>
    </xf>
    <xf numFmtId="164" fontId="3" fillId="4" borderId="15" xfId="0" applyNumberFormat="1" applyFont="1" applyFill="1" applyBorder="1" applyAlignment="1">
      <alignment horizontal="center" vertical="center" wrapText="1"/>
    </xf>
    <xf numFmtId="1" fontId="5" fillId="2" borderId="4" xfId="0" applyNumberFormat="1" applyFont="1" applyFill="1" applyBorder="1" applyAlignment="1">
      <alignment horizontal="center" vertical="center"/>
    </xf>
    <xf numFmtId="164" fontId="2" fillId="2" borderId="25" xfId="0" applyNumberFormat="1" applyFont="1" applyFill="1" applyBorder="1" applyAlignment="1">
      <alignment horizontal="center" vertical="center"/>
    </xf>
    <xf numFmtId="164" fontId="2" fillId="2" borderId="16" xfId="0" applyNumberFormat="1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 vertical="center"/>
    </xf>
    <xf numFmtId="164" fontId="13" fillId="2" borderId="12" xfId="0" applyNumberFormat="1" applyFont="1" applyFill="1" applyBorder="1" applyAlignment="1">
      <alignment horizontal="center" vertical="center"/>
    </xf>
    <xf numFmtId="164" fontId="2" fillId="2" borderId="13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64" fontId="5" fillId="2" borderId="12" xfId="0" applyNumberFormat="1" applyFont="1" applyFill="1" applyBorder="1" applyAlignment="1">
      <alignment horizontal="center" vertical="center"/>
    </xf>
    <xf numFmtId="168" fontId="4" fillId="3" borderId="44" xfId="0" applyNumberFormat="1" applyFont="1" applyFill="1" applyBorder="1" applyAlignment="1">
      <alignment horizontal="center" vertical="center"/>
    </xf>
    <xf numFmtId="168" fontId="4" fillId="3" borderId="59" xfId="0" applyNumberFormat="1" applyFont="1" applyFill="1" applyBorder="1" applyAlignment="1">
      <alignment horizontal="center" vertical="center"/>
    </xf>
    <xf numFmtId="164" fontId="4" fillId="3" borderId="35" xfId="0" applyNumberFormat="1" applyFont="1" applyFill="1" applyBorder="1" applyAlignment="1">
      <alignment horizontal="center" vertical="center"/>
    </xf>
    <xf numFmtId="164" fontId="3" fillId="4" borderId="10" xfId="0" applyNumberFormat="1" applyFont="1" applyFill="1" applyBorder="1" applyAlignment="1">
      <alignment horizontal="center" vertical="center" wrapText="1"/>
    </xf>
    <xf numFmtId="164" fontId="3" fillId="4" borderId="11" xfId="0" applyNumberFormat="1" applyFont="1" applyFill="1" applyBorder="1" applyAlignment="1">
      <alignment horizontal="center" vertical="center" wrapText="1"/>
    </xf>
    <xf numFmtId="164" fontId="3" fillId="4" borderId="12" xfId="0" applyNumberFormat="1" applyFont="1" applyFill="1" applyBorder="1" applyAlignment="1">
      <alignment horizontal="center" vertical="center" wrapText="1"/>
    </xf>
    <xf numFmtId="166" fontId="5" fillId="2" borderId="17" xfId="0" applyNumberFormat="1" applyFont="1" applyFill="1" applyBorder="1" applyAlignment="1">
      <alignment horizontal="center" vertical="center"/>
    </xf>
    <xf numFmtId="166" fontId="5" fillId="2" borderId="18" xfId="0" applyNumberFormat="1" applyFont="1" applyFill="1" applyBorder="1" applyAlignment="1">
      <alignment horizontal="center" vertical="center"/>
    </xf>
    <xf numFmtId="166" fontId="2" fillId="0" borderId="15" xfId="0" applyNumberFormat="1" applyFon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13" fillId="0" borderId="18" xfId="0" applyNumberFormat="1" applyFont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169" fontId="2" fillId="0" borderId="34" xfId="0" applyNumberFormat="1" applyFont="1" applyBorder="1" applyAlignment="1">
      <alignment horizontal="center" vertical="center"/>
    </xf>
    <xf numFmtId="169" fontId="2" fillId="0" borderId="35" xfId="0" applyNumberFormat="1" applyFont="1" applyBorder="1" applyAlignment="1">
      <alignment horizontal="center" vertical="center"/>
    </xf>
    <xf numFmtId="0" fontId="13" fillId="6" borderId="33" xfId="0" applyFont="1" applyFill="1" applyBorder="1" applyAlignment="1">
      <alignment horizontal="center" vertical="center"/>
    </xf>
    <xf numFmtId="2" fontId="2" fillId="0" borderId="34" xfId="0" applyNumberFormat="1" applyFont="1" applyBorder="1" applyAlignment="1">
      <alignment horizontal="center" vertical="center"/>
    </xf>
    <xf numFmtId="168" fontId="2" fillId="0" borderId="34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6" fontId="2" fillId="0" borderId="34" xfId="0" applyNumberFormat="1" applyFont="1" applyBorder="1" applyAlignment="1">
      <alignment horizontal="center" vertical="center"/>
    </xf>
    <xf numFmtId="166" fontId="2" fillId="0" borderId="35" xfId="0" applyNumberFormat="1" applyFont="1" applyBorder="1" applyAlignment="1">
      <alignment horizontal="center" vertical="center"/>
    </xf>
    <xf numFmtId="0" fontId="13" fillId="5" borderId="18" xfId="0" applyFont="1" applyFill="1" applyBorder="1" applyAlignment="1">
      <alignment horizontal="center" vertical="center"/>
    </xf>
    <xf numFmtId="164" fontId="13" fillId="0" borderId="8" xfId="0" applyNumberFormat="1" applyFont="1" applyBorder="1" applyAlignment="1">
      <alignment horizontal="center" vertical="center"/>
    </xf>
    <xf numFmtId="2" fontId="13" fillId="0" borderId="8" xfId="0" applyNumberFormat="1" applyFont="1" applyBorder="1" applyAlignment="1">
      <alignment horizontal="center" vertical="center"/>
    </xf>
    <xf numFmtId="164" fontId="2" fillId="0" borderId="41" xfId="0" applyNumberFormat="1" applyFont="1" applyBorder="1" applyAlignment="1">
      <alignment horizontal="center" vertical="center"/>
    </xf>
    <xf numFmtId="168" fontId="2" fillId="0" borderId="41" xfId="0" applyNumberFormat="1" applyFont="1" applyBorder="1" applyAlignment="1">
      <alignment horizontal="center" vertical="center"/>
    </xf>
    <xf numFmtId="168" fontId="13" fillId="0" borderId="15" xfId="0" applyNumberFormat="1" applyFont="1" applyBorder="1" applyAlignment="1">
      <alignment horizontal="center" vertical="center"/>
    </xf>
    <xf numFmtId="2" fontId="21" fillId="2" borderId="11" xfId="0" applyNumberFormat="1" applyFont="1" applyFill="1" applyBorder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21" fillId="2" borderId="14" xfId="0" applyNumberFormat="1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/>
    </xf>
    <xf numFmtId="2" fontId="2" fillId="0" borderId="16" xfId="0" applyNumberFormat="1" applyFont="1" applyBorder="1" applyAlignment="1">
      <alignment horizontal="center" vertical="center"/>
    </xf>
    <xf numFmtId="169" fontId="13" fillId="2" borderId="9" xfId="0" applyNumberFormat="1" applyFont="1" applyFill="1" applyBorder="1" applyAlignment="1">
      <alignment horizontal="center" vertical="center"/>
    </xf>
    <xf numFmtId="2" fontId="13" fillId="2" borderId="9" xfId="0" applyNumberFormat="1" applyFont="1" applyFill="1" applyBorder="1" applyAlignment="1">
      <alignment horizontal="center" vertical="center"/>
    </xf>
    <xf numFmtId="164" fontId="2" fillId="2" borderId="26" xfId="0" applyNumberFormat="1" applyFont="1" applyFill="1" applyBorder="1" applyAlignment="1">
      <alignment horizontal="center" vertical="center"/>
    </xf>
    <xf numFmtId="2" fontId="13" fillId="2" borderId="15" xfId="0" applyNumberFormat="1" applyFont="1" applyFill="1" applyBorder="1" applyAlignment="1">
      <alignment horizontal="center" vertical="center"/>
    </xf>
    <xf numFmtId="164" fontId="3" fillId="4" borderId="18" xfId="0" applyNumberFormat="1" applyFont="1" applyFill="1" applyBorder="1" applyAlignment="1">
      <alignment horizontal="center" vertical="center" wrapText="1"/>
    </xf>
    <xf numFmtId="164" fontId="2" fillId="2" borderId="10" xfId="0" applyNumberFormat="1" applyFont="1" applyFill="1" applyBorder="1" applyAlignment="1">
      <alignment horizontal="center" vertical="center"/>
    </xf>
    <xf numFmtId="1" fontId="13" fillId="2" borderId="12" xfId="0" applyNumberFormat="1" applyFont="1" applyFill="1" applyBorder="1" applyAlignment="1">
      <alignment horizontal="center" vertical="center"/>
    </xf>
    <xf numFmtId="169" fontId="13" fillId="2" borderId="12" xfId="0" applyNumberFormat="1" applyFont="1" applyFill="1" applyBorder="1" applyAlignment="1">
      <alignment horizontal="center" vertical="center"/>
    </xf>
    <xf numFmtId="2" fontId="13" fillId="2" borderId="1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13" fillId="5" borderId="54" xfId="0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2" fontId="21" fillId="2" borderId="5" xfId="0" applyNumberFormat="1" applyFont="1" applyFill="1" applyBorder="1" applyAlignment="1">
      <alignment horizontal="center" vertical="center"/>
    </xf>
    <xf numFmtId="1" fontId="13" fillId="2" borderId="7" xfId="0" applyNumberFormat="1" applyFont="1" applyFill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5" fontId="3" fillId="4" borderId="16" xfId="0" applyNumberFormat="1" applyFont="1" applyFill="1" applyBorder="1" applyAlignment="1">
      <alignment horizontal="center" vertical="center" wrapText="1"/>
    </xf>
    <xf numFmtId="166" fontId="3" fillId="4" borderId="16" xfId="0" applyNumberFormat="1" applyFont="1" applyFill="1" applyBorder="1" applyAlignment="1">
      <alignment horizontal="center" vertical="center" wrapText="1"/>
    </xf>
    <xf numFmtId="166" fontId="5" fillId="2" borderId="6" xfId="0" applyNumberFormat="1" applyFont="1" applyFill="1" applyBorder="1" applyAlignment="1">
      <alignment horizontal="center" vertical="center"/>
    </xf>
    <xf numFmtId="0" fontId="13" fillId="5" borderId="65" xfId="0" applyFont="1" applyFill="1" applyBorder="1" applyAlignment="1">
      <alignment horizontal="center" vertical="center"/>
    </xf>
    <xf numFmtId="164" fontId="2" fillId="2" borderId="43" xfId="0" applyNumberFormat="1" applyFont="1" applyFill="1" applyBorder="1" applyAlignment="1">
      <alignment horizontal="center" vertical="center"/>
    </xf>
    <xf numFmtId="0" fontId="13" fillId="5" borderId="67" xfId="0" applyFont="1" applyFill="1" applyBorder="1" applyAlignment="1">
      <alignment horizontal="center" vertical="center"/>
    </xf>
    <xf numFmtId="0" fontId="13" fillId="5" borderId="55" xfId="0" applyFont="1" applyFill="1" applyBorder="1" applyAlignment="1">
      <alignment horizontal="center" vertical="center"/>
    </xf>
    <xf numFmtId="0" fontId="13" fillId="5" borderId="51" xfId="0" applyFont="1" applyFill="1" applyBorder="1" applyAlignment="1">
      <alignment horizontal="center" vertical="center"/>
    </xf>
    <xf numFmtId="164" fontId="2" fillId="0" borderId="27" xfId="0" applyNumberFormat="1" applyFont="1" applyBorder="1" applyAlignment="1">
      <alignment horizontal="center" vertical="center"/>
    </xf>
    <xf numFmtId="2" fontId="13" fillId="0" borderId="60" xfId="0" applyNumberFormat="1" applyFont="1" applyBorder="1" applyAlignment="1">
      <alignment horizontal="center" vertical="center"/>
    </xf>
    <xf numFmtId="0" fontId="13" fillId="5" borderId="50" xfId="0" applyFont="1" applyFill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7" borderId="43" xfId="0" applyFont="1" applyFill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168" fontId="2" fillId="0" borderId="10" xfId="0" applyNumberFormat="1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2" fontId="13" fillId="0" borderId="17" xfId="0" applyNumberFormat="1" applyFont="1" applyBorder="1" applyAlignment="1">
      <alignment horizontal="center" vertical="center"/>
    </xf>
    <xf numFmtId="2" fontId="13" fillId="0" borderId="18" xfId="0" applyNumberFormat="1" applyFont="1" applyBorder="1" applyAlignment="1">
      <alignment horizontal="center" vertical="center"/>
    </xf>
    <xf numFmtId="164" fontId="2" fillId="0" borderId="37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164" fontId="2" fillId="0" borderId="44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13" fillId="3" borderId="67" xfId="0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2" fillId="0" borderId="10" xfId="0" applyFont="1" applyBorder="1"/>
    <xf numFmtId="0" fontId="2" fillId="0" borderId="43" xfId="0" applyFont="1" applyBorder="1"/>
    <xf numFmtId="0" fontId="2" fillId="0" borderId="13" xfId="0" applyFont="1" applyBorder="1"/>
    <xf numFmtId="0" fontId="2" fillId="0" borderId="45" xfId="0" applyFont="1" applyBorder="1"/>
    <xf numFmtId="0" fontId="2" fillId="0" borderId="69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169" fontId="13" fillId="0" borderId="17" xfId="0" applyNumberFormat="1" applyFont="1" applyBorder="1" applyAlignment="1">
      <alignment horizontal="center" vertical="center"/>
    </xf>
    <xf numFmtId="166" fontId="3" fillId="2" borderId="43" xfId="0" applyNumberFormat="1" applyFont="1" applyFill="1" applyBorder="1" applyAlignment="1">
      <alignment horizontal="center" vertical="center"/>
    </xf>
    <xf numFmtId="166" fontId="3" fillId="2" borderId="61" xfId="0" applyNumberFormat="1" applyFont="1" applyFill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1" fontId="5" fillId="2" borderId="32" xfId="0" applyNumberFormat="1" applyFont="1" applyFill="1" applyBorder="1" applyAlignment="1">
      <alignment horizontal="center" vertical="center"/>
    </xf>
    <xf numFmtId="166" fontId="5" fillId="2" borderId="31" xfId="0" applyNumberFormat="1" applyFont="1" applyFill="1" applyBorder="1" applyAlignment="1">
      <alignment horizontal="center" vertical="center"/>
    </xf>
    <xf numFmtId="164" fontId="2" fillId="2" borderId="31" xfId="0" applyNumberFormat="1" applyFont="1" applyFill="1" applyBorder="1" applyAlignment="1">
      <alignment horizontal="center" vertical="center"/>
    </xf>
    <xf numFmtId="2" fontId="21" fillId="2" borderId="31" xfId="0" applyNumberFormat="1" applyFont="1" applyFill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/>
    </xf>
    <xf numFmtId="1" fontId="5" fillId="2" borderId="42" xfId="0" applyNumberFormat="1" applyFont="1" applyFill="1" applyBorder="1" applyAlignment="1">
      <alignment horizontal="center" vertical="center"/>
    </xf>
    <xf numFmtId="1" fontId="5" fillId="2" borderId="43" xfId="0" applyNumberFormat="1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68" fontId="13" fillId="2" borderId="12" xfId="0" applyNumberFormat="1" applyFont="1" applyFill="1" applyBorder="1" applyAlignment="1">
      <alignment horizontal="center" vertical="center"/>
    </xf>
    <xf numFmtId="168" fontId="13" fillId="2" borderId="15" xfId="0" applyNumberFormat="1" applyFont="1" applyFill="1" applyBorder="1" applyAlignment="1">
      <alignment horizontal="center" vertical="center"/>
    </xf>
    <xf numFmtId="164" fontId="2" fillId="2" borderId="32" xfId="0" applyNumberFormat="1" applyFont="1" applyFill="1" applyBorder="1" applyAlignment="1">
      <alignment horizontal="center" vertical="center"/>
    </xf>
    <xf numFmtId="2" fontId="21" fillId="2" borderId="16" xfId="0" applyNumberFormat="1" applyFont="1" applyFill="1" applyBorder="1" applyAlignment="1">
      <alignment horizontal="center" vertical="center"/>
    </xf>
    <xf numFmtId="2" fontId="21" fillId="2" borderId="27" xfId="0" applyNumberFormat="1" applyFont="1" applyFill="1" applyBorder="1" applyAlignment="1">
      <alignment horizontal="center" vertical="center"/>
    </xf>
    <xf numFmtId="164" fontId="2" fillId="0" borderId="39" xfId="0" applyNumberFormat="1" applyFont="1" applyBorder="1" applyAlignment="1">
      <alignment horizontal="center" vertical="center"/>
    </xf>
    <xf numFmtId="2" fontId="2" fillId="2" borderId="16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166" fontId="5" fillId="2" borderId="38" xfId="0" applyNumberFormat="1" applyFont="1" applyFill="1" applyBorder="1" applyAlignment="1">
      <alignment horizontal="center" vertical="center"/>
    </xf>
    <xf numFmtId="1" fontId="5" fillId="2" borderId="33" xfId="0" applyNumberFormat="1" applyFont="1" applyFill="1" applyBorder="1" applyAlignment="1">
      <alignment horizontal="center" vertical="center"/>
    </xf>
    <xf numFmtId="1" fontId="5" fillId="2" borderId="34" xfId="0" applyNumberFormat="1" applyFont="1" applyFill="1" applyBorder="1" applyAlignment="1">
      <alignment horizontal="center" vertical="center"/>
    </xf>
    <xf numFmtId="1" fontId="5" fillId="2" borderId="57" xfId="0" applyNumberFormat="1" applyFont="1" applyFill="1" applyBorder="1" applyAlignment="1">
      <alignment horizontal="center" vertical="center"/>
    </xf>
    <xf numFmtId="1" fontId="5" fillId="2" borderId="35" xfId="0" applyNumberFormat="1" applyFont="1" applyFill="1" applyBorder="1" applyAlignment="1">
      <alignment horizontal="center" vertical="center"/>
    </xf>
    <xf numFmtId="2" fontId="2" fillId="0" borderId="26" xfId="0" applyNumberFormat="1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2" fontId="2" fillId="0" borderId="25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4" fontId="2" fillId="0" borderId="71" xfId="0" applyNumberFormat="1" applyFont="1" applyBorder="1" applyAlignment="1">
      <alignment horizontal="center" vertical="center"/>
    </xf>
    <xf numFmtId="166" fontId="5" fillId="2" borderId="46" xfId="0" applyNumberFormat="1" applyFont="1" applyFill="1" applyBorder="1" applyAlignment="1">
      <alignment horizontal="center" vertical="center"/>
    </xf>
    <xf numFmtId="164" fontId="3" fillId="4" borderId="58" xfId="0" applyNumberFormat="1" applyFont="1" applyFill="1" applyBorder="1" applyAlignment="1">
      <alignment horizontal="center" vertical="center" wrapText="1"/>
    </xf>
    <xf numFmtId="164" fontId="3" fillId="4" borderId="28" xfId="0" applyNumberFormat="1" applyFont="1" applyFill="1" applyBorder="1" applyAlignment="1">
      <alignment horizontal="center" vertical="center" wrapText="1"/>
    </xf>
    <xf numFmtId="169" fontId="13" fillId="2" borderId="15" xfId="0" applyNumberFormat="1" applyFont="1" applyFill="1" applyBorder="1" applyAlignment="1">
      <alignment horizontal="center" vertical="center"/>
    </xf>
    <xf numFmtId="164" fontId="2" fillId="2" borderId="42" xfId="0" applyNumberFormat="1" applyFont="1" applyFill="1" applyBorder="1" applyAlignment="1">
      <alignment horizontal="center" vertical="center"/>
    </xf>
    <xf numFmtId="1" fontId="5" fillId="2" borderId="45" xfId="0" applyNumberFormat="1" applyFont="1" applyFill="1" applyBorder="1" applyAlignment="1">
      <alignment horizontal="center" vertical="center"/>
    </xf>
    <xf numFmtId="2" fontId="13" fillId="2" borderId="36" xfId="0" applyNumberFormat="1" applyFont="1" applyFill="1" applyBorder="1" applyAlignment="1">
      <alignment horizontal="center" vertical="center"/>
    </xf>
    <xf numFmtId="169" fontId="2" fillId="2" borderId="52" xfId="0" applyNumberFormat="1" applyFont="1" applyFill="1" applyBorder="1" applyAlignment="1">
      <alignment horizontal="center" vertical="center"/>
    </xf>
    <xf numFmtId="2" fontId="2" fillId="2" borderId="52" xfId="0" applyNumberFormat="1" applyFont="1" applyFill="1" applyBorder="1" applyAlignment="1">
      <alignment horizontal="center" vertical="center"/>
    </xf>
    <xf numFmtId="2" fontId="2" fillId="2" borderId="72" xfId="0" applyNumberFormat="1" applyFont="1" applyFill="1" applyBorder="1" applyAlignment="1">
      <alignment horizontal="center" vertical="center"/>
    </xf>
    <xf numFmtId="169" fontId="2" fillId="2" borderId="16" xfId="0" applyNumberFormat="1" applyFont="1" applyFill="1" applyBorder="1" applyAlignment="1">
      <alignment horizontal="center" vertical="center"/>
    </xf>
    <xf numFmtId="2" fontId="2" fillId="2" borderId="27" xfId="0" applyNumberFormat="1" applyFont="1" applyFill="1" applyBorder="1" applyAlignment="1">
      <alignment horizontal="center" vertical="center"/>
    </xf>
    <xf numFmtId="169" fontId="2" fillId="2" borderId="61" xfId="0" applyNumberFormat="1" applyFont="1" applyFill="1" applyBorder="1" applyAlignment="1">
      <alignment horizontal="center" vertical="center"/>
    </xf>
    <xf numFmtId="168" fontId="2" fillId="2" borderId="63" xfId="0" applyNumberFormat="1" applyFont="1" applyFill="1" applyBorder="1" applyAlignment="1">
      <alignment horizontal="center" vertical="center"/>
    </xf>
    <xf numFmtId="168" fontId="2" fillId="2" borderId="64" xfId="0" applyNumberFormat="1" applyFont="1" applyFill="1" applyBorder="1" applyAlignment="1">
      <alignment horizontal="center" vertical="center"/>
    </xf>
    <xf numFmtId="168" fontId="2" fillId="2" borderId="11" xfId="0" applyNumberFormat="1" applyFont="1" applyFill="1" applyBorder="1" applyAlignment="1">
      <alignment horizontal="center" vertical="center"/>
    </xf>
    <xf numFmtId="168" fontId="2" fillId="2" borderId="14" xfId="0" applyNumberFormat="1" applyFont="1" applyFill="1" applyBorder="1" applyAlignment="1">
      <alignment horizontal="center" vertical="center"/>
    </xf>
    <xf numFmtId="164" fontId="13" fillId="2" borderId="9" xfId="0" applyNumberFormat="1" applyFont="1" applyFill="1" applyBorder="1" applyAlignment="1">
      <alignment horizontal="center" vertical="center"/>
    </xf>
    <xf numFmtId="164" fontId="13" fillId="2" borderId="15" xfId="0" applyNumberFormat="1" applyFont="1" applyFill="1" applyBorder="1" applyAlignment="1">
      <alignment horizontal="center" vertical="center"/>
    </xf>
    <xf numFmtId="166" fontId="3" fillId="2" borderId="42" xfId="0" applyNumberFormat="1" applyFont="1" applyFill="1" applyBorder="1" applyAlignment="1">
      <alignment horizontal="center" vertical="center"/>
    </xf>
    <xf numFmtId="166" fontId="3" fillId="2" borderId="45" xfId="0" applyNumberFormat="1" applyFon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168" fontId="4" fillId="3" borderId="64" xfId="0" applyNumberFormat="1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/>
    </xf>
    <xf numFmtId="166" fontId="5" fillId="2" borderId="8" xfId="0" applyNumberFormat="1" applyFont="1" applyFill="1" applyBorder="1" applyAlignment="1">
      <alignment horizontal="center" vertical="center"/>
    </xf>
    <xf numFmtId="2" fontId="2" fillId="2" borderId="45" xfId="0" applyNumberFormat="1" applyFont="1" applyFill="1" applyBorder="1" applyAlignment="1">
      <alignment horizontal="center"/>
    </xf>
    <xf numFmtId="166" fontId="3" fillId="2" borderId="50" xfId="0" applyNumberFormat="1" applyFont="1" applyFill="1" applyBorder="1" applyAlignment="1">
      <alignment horizontal="center" vertical="center"/>
    </xf>
    <xf numFmtId="166" fontId="3" fillId="2" borderId="74" xfId="0" applyNumberFormat="1" applyFont="1" applyFill="1" applyBorder="1" applyAlignment="1">
      <alignment horizontal="center" vertical="center"/>
    </xf>
    <xf numFmtId="166" fontId="3" fillId="2" borderId="67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4" fontId="3" fillId="4" borderId="25" xfId="0" applyNumberFormat="1" applyFont="1" applyFill="1" applyBorder="1" applyAlignment="1">
      <alignment horizontal="center" vertical="center" wrapText="1"/>
    </xf>
    <xf numFmtId="164" fontId="3" fillId="4" borderId="16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164" fontId="3" fillId="4" borderId="40" xfId="0" applyNumberFormat="1" applyFont="1" applyFill="1" applyBorder="1" applyAlignment="1">
      <alignment horizontal="center" vertical="center" wrapText="1"/>
    </xf>
    <xf numFmtId="0" fontId="14" fillId="0" borderId="66" xfId="0" applyFont="1" applyBorder="1" applyAlignment="1">
      <alignment horizontal="center" vertical="center"/>
    </xf>
    <xf numFmtId="168" fontId="4" fillId="4" borderId="45" xfId="0" applyNumberFormat="1" applyFont="1" applyFill="1" applyBorder="1" applyAlignment="1">
      <alignment horizontal="center" vertical="center"/>
    </xf>
    <xf numFmtId="168" fontId="4" fillId="4" borderId="15" xfId="0" applyNumberFormat="1" applyFont="1" applyFill="1" applyBorder="1" applyAlignment="1">
      <alignment horizontal="center" vertical="center"/>
    </xf>
    <xf numFmtId="0" fontId="13" fillId="4" borderId="40" xfId="0" applyFont="1" applyFill="1" applyBorder="1" applyAlignment="1">
      <alignment horizontal="center"/>
    </xf>
    <xf numFmtId="168" fontId="13" fillId="4" borderId="44" xfId="0" applyNumberFormat="1" applyFont="1" applyFill="1" applyBorder="1" applyAlignment="1">
      <alignment horizontal="center"/>
    </xf>
    <xf numFmtId="165" fontId="3" fillId="4" borderId="6" xfId="0" applyNumberFormat="1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" fontId="5" fillId="2" borderId="17" xfId="0" applyNumberFormat="1" applyFont="1" applyFill="1" applyBorder="1" applyAlignment="1">
      <alignment horizontal="center" vertical="center"/>
    </xf>
    <xf numFmtId="1" fontId="5" fillId="2" borderId="18" xfId="0" applyNumberFormat="1" applyFont="1" applyFill="1" applyBorder="1" applyAlignment="1">
      <alignment horizontal="center" vertical="center"/>
    </xf>
    <xf numFmtId="0" fontId="2" fillId="0" borderId="8" xfId="0" applyFont="1" applyBorder="1"/>
    <xf numFmtId="169" fontId="5" fillId="2" borderId="6" xfId="0" applyNumberFormat="1" applyFont="1" applyFill="1" applyBorder="1" applyAlignment="1">
      <alignment horizontal="center" vertical="center"/>
    </xf>
    <xf numFmtId="169" fontId="5" fillId="2" borderId="17" xfId="0" applyNumberFormat="1" applyFont="1" applyFill="1" applyBorder="1" applyAlignment="1">
      <alignment horizontal="center" vertical="center"/>
    </xf>
    <xf numFmtId="169" fontId="5" fillId="2" borderId="18" xfId="0" applyNumberFormat="1" applyFont="1" applyFill="1" applyBorder="1" applyAlignment="1">
      <alignment horizontal="center" vertical="center"/>
    </xf>
    <xf numFmtId="167" fontId="3" fillId="4" borderId="42" xfId="0" applyNumberFormat="1" applyFont="1" applyFill="1" applyBorder="1" applyAlignment="1">
      <alignment horizontal="center" vertical="center"/>
    </xf>
    <xf numFmtId="168" fontId="5" fillId="2" borderId="43" xfId="0" applyNumberFormat="1" applyFont="1" applyFill="1" applyBorder="1" applyAlignment="1">
      <alignment horizontal="center" vertical="center"/>
    </xf>
    <xf numFmtId="169" fontId="3" fillId="3" borderId="42" xfId="0" applyNumberFormat="1" applyFont="1" applyFill="1" applyBorder="1" applyAlignment="1">
      <alignment horizontal="center" vertical="center"/>
    </xf>
    <xf numFmtId="168" fontId="4" fillId="3" borderId="43" xfId="0" applyNumberFormat="1" applyFont="1" applyFill="1" applyBorder="1" applyAlignment="1">
      <alignment horizontal="center" vertical="center"/>
    </xf>
    <xf numFmtId="168" fontId="4" fillId="3" borderId="45" xfId="0" applyNumberFormat="1" applyFont="1" applyFill="1" applyBorder="1" applyAlignment="1">
      <alignment horizontal="center" vertical="center"/>
    </xf>
    <xf numFmtId="168" fontId="5" fillId="2" borderId="38" xfId="0" applyNumberFormat="1" applyFont="1" applyFill="1" applyBorder="1" applyAlignment="1">
      <alignment horizontal="center" vertical="center"/>
    </xf>
    <xf numFmtId="168" fontId="5" fillId="2" borderId="45" xfId="0" applyNumberFormat="1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165" fontId="3" fillId="4" borderId="33" xfId="0" applyNumberFormat="1" applyFont="1" applyFill="1" applyBorder="1" applyAlignment="1">
      <alignment horizontal="center" vertical="center"/>
    </xf>
    <xf numFmtId="168" fontId="4" fillId="4" borderId="58" xfId="0" applyNumberFormat="1" applyFont="1" applyFill="1" applyBorder="1" applyAlignment="1">
      <alignment horizontal="center" vertical="center"/>
    </xf>
    <xf numFmtId="169" fontId="5" fillId="2" borderId="33" xfId="0" applyNumberFormat="1" applyFont="1" applyFill="1" applyBorder="1" applyAlignment="1">
      <alignment horizontal="center" vertical="center"/>
    </xf>
    <xf numFmtId="169" fontId="5" fillId="2" borderId="34" xfId="0" applyNumberFormat="1" applyFont="1" applyFill="1" applyBorder="1" applyAlignment="1">
      <alignment horizontal="center" vertical="center"/>
    </xf>
    <xf numFmtId="169" fontId="5" fillId="2" borderId="35" xfId="0" applyNumberFormat="1" applyFont="1" applyFill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2" fontId="5" fillId="2" borderId="17" xfId="0" applyNumberFormat="1" applyFont="1" applyFill="1" applyBorder="1" applyAlignment="1">
      <alignment horizontal="center" vertical="center"/>
    </xf>
    <xf numFmtId="2" fontId="5" fillId="2" borderId="18" xfId="0" applyNumberFormat="1" applyFont="1" applyFill="1" applyBorder="1" applyAlignment="1">
      <alignment horizontal="center" vertical="center"/>
    </xf>
    <xf numFmtId="2" fontId="5" fillId="2" borderId="33" xfId="0" applyNumberFormat="1" applyFont="1" applyFill="1" applyBorder="1" applyAlignment="1">
      <alignment horizontal="center" vertical="center"/>
    </xf>
    <xf numFmtId="2" fontId="5" fillId="2" borderId="34" xfId="0" applyNumberFormat="1" applyFont="1" applyFill="1" applyBorder="1" applyAlignment="1">
      <alignment horizontal="center" vertical="center"/>
    </xf>
    <xf numFmtId="2" fontId="5" fillId="2" borderId="35" xfId="0" applyNumberFormat="1" applyFont="1" applyFill="1" applyBorder="1" applyAlignment="1">
      <alignment horizontal="center" vertical="center"/>
    </xf>
    <xf numFmtId="169" fontId="3" fillId="3" borderId="6" xfId="0" applyNumberFormat="1" applyFont="1" applyFill="1" applyBorder="1" applyAlignment="1">
      <alignment horizontal="center" vertical="center"/>
    </xf>
    <xf numFmtId="168" fontId="4" fillId="3" borderId="17" xfId="0" applyNumberFormat="1" applyFont="1" applyFill="1" applyBorder="1" applyAlignment="1">
      <alignment horizontal="center" vertical="center"/>
    </xf>
    <xf numFmtId="168" fontId="4" fillId="3" borderId="18" xfId="0" applyNumberFormat="1" applyFont="1" applyFill="1" applyBorder="1" applyAlignment="1">
      <alignment horizontal="center" vertical="center"/>
    </xf>
    <xf numFmtId="168" fontId="12" fillId="4" borderId="45" xfId="0" applyNumberFormat="1" applyFont="1" applyFill="1" applyBorder="1" applyAlignment="1">
      <alignment horizontal="center" vertical="center"/>
    </xf>
    <xf numFmtId="0" fontId="2" fillId="0" borderId="38" xfId="0" applyFont="1" applyBorder="1"/>
    <xf numFmtId="0" fontId="2" fillId="0" borderId="42" xfId="0" applyFont="1" applyBorder="1"/>
    <xf numFmtId="168" fontId="12" fillId="4" borderId="13" xfId="0" applyNumberFormat="1" applyFont="1" applyFill="1" applyBorder="1" applyAlignment="1">
      <alignment horizontal="center" vertical="center"/>
    </xf>
    <xf numFmtId="0" fontId="2" fillId="0" borderId="4" xfId="0" applyFont="1" applyBorder="1"/>
    <xf numFmtId="0" fontId="2" fillId="0" borderId="42" xfId="0" applyFont="1" applyBorder="1" applyAlignment="1">
      <alignment vertical="center"/>
    </xf>
    <xf numFmtId="0" fontId="2" fillId="0" borderId="43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2" fontId="0" fillId="0" borderId="1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2" fillId="2" borderId="12" xfId="0" applyNumberFormat="1" applyFont="1" applyFill="1" applyBorder="1" applyAlignment="1">
      <alignment horizontal="center" vertical="center"/>
    </xf>
    <xf numFmtId="2" fontId="2" fillId="2" borderId="15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60" xfId="0" applyFont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164" fontId="3" fillId="4" borderId="73" xfId="0" applyNumberFormat="1" applyFont="1" applyFill="1" applyBorder="1" applyAlignment="1">
      <alignment horizontal="center" vertical="center" wrapText="1"/>
    </xf>
    <xf numFmtId="165" fontId="3" fillId="4" borderId="39" xfId="0" applyNumberFormat="1" applyFont="1" applyFill="1" applyBorder="1" applyAlignment="1">
      <alignment horizontal="center" vertical="center" wrapText="1"/>
    </xf>
    <xf numFmtId="166" fontId="3" fillId="4" borderId="39" xfId="0" applyNumberFormat="1" applyFont="1" applyFill="1" applyBorder="1" applyAlignment="1">
      <alignment horizontal="center" vertical="center" wrapText="1"/>
    </xf>
    <xf numFmtId="164" fontId="3" fillId="4" borderId="39" xfId="0" applyNumberFormat="1" applyFont="1" applyFill="1" applyBorder="1" applyAlignment="1">
      <alignment horizontal="center" vertical="center" wrapText="1"/>
    </xf>
    <xf numFmtId="164" fontId="3" fillId="4" borderId="75" xfId="0" applyNumberFormat="1" applyFont="1" applyFill="1" applyBorder="1" applyAlignment="1">
      <alignment horizontal="center" vertical="center"/>
    </xf>
    <xf numFmtId="165" fontId="3" fillId="4" borderId="11" xfId="0" applyNumberFormat="1" applyFont="1" applyFill="1" applyBorder="1" applyAlignment="1">
      <alignment horizontal="center" vertical="center" wrapText="1"/>
    </xf>
    <xf numFmtId="166" fontId="3" fillId="4" borderId="11" xfId="0" applyNumberFormat="1" applyFont="1" applyFill="1" applyBorder="1" applyAlignment="1">
      <alignment horizontal="center" vertical="center" wrapText="1"/>
    </xf>
    <xf numFmtId="164" fontId="3" fillId="4" borderId="17" xfId="0" applyNumberFormat="1" applyFont="1" applyFill="1" applyBorder="1" applyAlignment="1">
      <alignment horizontal="center" vertical="center"/>
    </xf>
    <xf numFmtId="168" fontId="5" fillId="2" borderId="6" xfId="0" applyNumberFormat="1" applyFont="1" applyFill="1" applyBorder="1" applyAlignment="1">
      <alignment horizontal="center" vertical="center"/>
    </xf>
    <xf numFmtId="0" fontId="13" fillId="5" borderId="28" xfId="0" applyFont="1" applyFill="1" applyBorder="1" applyAlignment="1">
      <alignment horizontal="center" vertical="center"/>
    </xf>
    <xf numFmtId="164" fontId="13" fillId="0" borderId="7" xfId="0" applyNumberFormat="1" applyFont="1" applyBorder="1" applyAlignment="1">
      <alignment horizontal="center" vertical="center"/>
    </xf>
    <xf numFmtId="164" fontId="3" fillId="4" borderId="69" xfId="0" applyNumberFormat="1" applyFont="1" applyFill="1" applyBorder="1" applyAlignment="1">
      <alignment horizontal="center" vertical="center" wrapText="1"/>
    </xf>
    <xf numFmtId="166" fontId="2" fillId="0" borderId="13" xfId="0" applyNumberFormat="1" applyFont="1" applyBorder="1" applyAlignment="1">
      <alignment horizontal="center" vertical="center"/>
    </xf>
    <xf numFmtId="164" fontId="3" fillId="4" borderId="41" xfId="0" applyNumberFormat="1" applyFont="1" applyFill="1" applyBorder="1" applyAlignment="1">
      <alignment horizontal="center" vertical="center" wrapText="1"/>
    </xf>
    <xf numFmtId="168" fontId="5" fillId="2" borderId="41" xfId="0" applyNumberFormat="1" applyFont="1" applyFill="1" applyBorder="1" applyAlignment="1">
      <alignment horizontal="center" vertical="center"/>
    </xf>
    <xf numFmtId="168" fontId="5" fillId="2" borderId="44" xfId="0" applyNumberFormat="1" applyFont="1" applyFill="1" applyBorder="1" applyAlignment="1">
      <alignment horizontal="center" vertical="center"/>
    </xf>
    <xf numFmtId="169" fontId="5" fillId="2" borderId="10" xfId="0" applyNumberFormat="1" applyFont="1" applyFill="1" applyBorder="1" applyAlignment="1">
      <alignment horizontal="center" vertical="center"/>
    </xf>
    <xf numFmtId="169" fontId="5" fillId="2" borderId="12" xfId="0" applyNumberFormat="1" applyFont="1" applyFill="1" applyBorder="1" applyAlignment="1">
      <alignment horizontal="center" vertical="center"/>
    </xf>
    <xf numFmtId="169" fontId="5" fillId="2" borderId="13" xfId="0" applyNumberFormat="1" applyFont="1" applyFill="1" applyBorder="1" applyAlignment="1">
      <alignment horizontal="center" vertical="center"/>
    </xf>
    <xf numFmtId="169" fontId="5" fillId="2" borderId="15" xfId="0" applyNumberFormat="1" applyFont="1" applyFill="1" applyBorder="1" applyAlignment="1">
      <alignment horizontal="center" vertical="center"/>
    </xf>
    <xf numFmtId="164" fontId="3" fillId="4" borderId="70" xfId="0" applyNumberFormat="1" applyFont="1" applyFill="1" applyBorder="1" applyAlignment="1">
      <alignment horizontal="center" vertical="center" wrapText="1"/>
    </xf>
    <xf numFmtId="168" fontId="5" fillId="2" borderId="40" xfId="0" applyNumberFormat="1" applyFont="1" applyFill="1" applyBorder="1" applyAlignment="1">
      <alignment horizontal="center" vertical="center"/>
    </xf>
    <xf numFmtId="164" fontId="3" fillId="3" borderId="26" xfId="0" applyNumberFormat="1" applyFont="1" applyFill="1" applyBorder="1" applyAlignment="1">
      <alignment horizontal="center" vertical="center"/>
    </xf>
    <xf numFmtId="164" fontId="3" fillId="3" borderId="27" xfId="0" applyNumberFormat="1" applyFont="1" applyFill="1" applyBorder="1" applyAlignment="1">
      <alignment horizontal="center" vertical="center"/>
    </xf>
    <xf numFmtId="164" fontId="3" fillId="3" borderId="36" xfId="0" applyNumberFormat="1" applyFont="1" applyFill="1" applyBorder="1" applyAlignment="1">
      <alignment horizontal="center" vertical="center"/>
    </xf>
    <xf numFmtId="2" fontId="2" fillId="0" borderId="36" xfId="0" applyNumberFormat="1" applyFont="1" applyBorder="1" applyAlignment="1">
      <alignment horizontal="center" vertical="center"/>
    </xf>
    <xf numFmtId="164" fontId="2" fillId="2" borderId="45" xfId="0" applyNumberFormat="1" applyFont="1" applyFill="1" applyBorder="1" applyAlignment="1">
      <alignment horizontal="center" vertical="center"/>
    </xf>
    <xf numFmtId="169" fontId="2" fillId="2" borderId="7" xfId="0" applyNumberFormat="1" applyFont="1" applyFill="1" applyBorder="1" applyAlignment="1">
      <alignment horizontal="center" vertical="center"/>
    </xf>
    <xf numFmtId="169" fontId="2" fillId="2" borderId="12" xfId="0" applyNumberFormat="1" applyFont="1" applyFill="1" applyBorder="1" applyAlignment="1">
      <alignment horizontal="center" vertical="center"/>
    </xf>
    <xf numFmtId="164" fontId="2" fillId="2" borderId="63" xfId="0" applyNumberFormat="1" applyFont="1" applyFill="1" applyBorder="1" applyAlignment="1">
      <alignment horizontal="center" vertical="center"/>
    </xf>
    <xf numFmtId="164" fontId="2" fillId="2" borderId="64" xfId="0" applyNumberFormat="1" applyFont="1" applyFill="1" applyBorder="1" applyAlignment="1">
      <alignment horizontal="center" vertical="center"/>
    </xf>
    <xf numFmtId="168" fontId="2" fillId="2" borderId="12" xfId="0" applyNumberFormat="1" applyFont="1" applyFill="1" applyBorder="1" applyAlignment="1">
      <alignment horizontal="center" vertical="center"/>
    </xf>
    <xf numFmtId="168" fontId="2" fillId="2" borderId="15" xfId="0" applyNumberFormat="1" applyFont="1" applyFill="1" applyBorder="1" applyAlignment="1">
      <alignment horizontal="center" vertical="center"/>
    </xf>
    <xf numFmtId="169" fontId="2" fillId="2" borderId="4" xfId="0" applyNumberFormat="1" applyFont="1" applyFill="1" applyBorder="1" applyAlignment="1">
      <alignment horizontal="center" vertical="center"/>
    </xf>
    <xf numFmtId="169" fontId="2" fillId="2" borderId="10" xfId="0" applyNumberFormat="1" applyFont="1" applyFill="1" applyBorder="1" applyAlignment="1">
      <alignment horizontal="center" vertical="center"/>
    </xf>
    <xf numFmtId="2" fontId="2" fillId="2" borderId="10" xfId="0" applyNumberFormat="1" applyFont="1" applyFill="1" applyBorder="1" applyAlignment="1">
      <alignment horizontal="center" vertical="center"/>
    </xf>
    <xf numFmtId="168" fontId="2" fillId="2" borderId="10" xfId="0" applyNumberFormat="1" applyFont="1" applyFill="1" applyBorder="1" applyAlignment="1">
      <alignment horizontal="center" vertical="center"/>
    </xf>
    <xf numFmtId="168" fontId="2" fillId="2" borderId="13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" fontId="5" fillId="2" borderId="40" xfId="0" applyNumberFormat="1" applyFont="1" applyFill="1" applyBorder="1" applyAlignment="1">
      <alignment horizontal="center" vertical="center"/>
    </xf>
    <xf numFmtId="1" fontId="5" fillId="2" borderId="41" xfId="0" applyNumberFormat="1" applyFont="1" applyFill="1" applyBorder="1" applyAlignment="1">
      <alignment horizontal="center" vertical="center"/>
    </xf>
    <xf numFmtId="1" fontId="5" fillId="2" borderId="44" xfId="0" applyNumberFormat="1" applyFont="1" applyFill="1" applyBorder="1" applyAlignment="1">
      <alignment horizontal="center" vertical="center"/>
    </xf>
    <xf numFmtId="1" fontId="5" fillId="2" borderId="37" xfId="0" applyNumberFormat="1" applyFont="1" applyFill="1" applyBorder="1" applyAlignment="1">
      <alignment horizontal="center" vertical="center"/>
    </xf>
    <xf numFmtId="169" fontId="2" fillId="2" borderId="38" xfId="0" applyNumberFormat="1" applyFont="1" applyFill="1" applyBorder="1" applyAlignment="1">
      <alignment horizontal="center" vertical="center"/>
    </xf>
    <xf numFmtId="2" fontId="2" fillId="2" borderId="38" xfId="0" applyNumberFormat="1" applyFont="1" applyFill="1" applyBorder="1" applyAlignment="1">
      <alignment horizontal="center" vertical="center"/>
    </xf>
    <xf numFmtId="2" fontId="2" fillId="2" borderId="46" xfId="0" applyNumberFormat="1" applyFont="1" applyFill="1" applyBorder="1" applyAlignment="1">
      <alignment horizontal="center" vertical="center"/>
    </xf>
    <xf numFmtId="164" fontId="3" fillId="4" borderId="45" xfId="0" applyNumberFormat="1" applyFont="1" applyFill="1" applyBorder="1" applyAlignment="1">
      <alignment horizontal="center" vertical="center" wrapText="1"/>
    </xf>
    <xf numFmtId="169" fontId="2" fillId="2" borderId="42" xfId="0" applyNumberFormat="1" applyFont="1" applyFill="1" applyBorder="1" applyAlignment="1">
      <alignment horizontal="center" vertical="center"/>
    </xf>
    <xf numFmtId="168" fontId="2" fillId="2" borderId="43" xfId="0" applyNumberFormat="1" applyFont="1" applyFill="1" applyBorder="1" applyAlignment="1">
      <alignment horizontal="center" vertical="center"/>
    </xf>
    <xf numFmtId="168" fontId="2" fillId="2" borderId="45" xfId="0" applyNumberFormat="1" applyFont="1" applyFill="1" applyBorder="1" applyAlignment="1">
      <alignment horizontal="center" vertical="center"/>
    </xf>
    <xf numFmtId="164" fontId="3" fillId="4" borderId="18" xfId="0" applyNumberFormat="1" applyFont="1" applyFill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2" fontId="2" fillId="0" borderId="17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13" fillId="0" borderId="48" xfId="0" applyFont="1" applyBorder="1" applyAlignment="1">
      <alignment horizontal="center" vertical="center"/>
    </xf>
    <xf numFmtId="0" fontId="13" fillId="0" borderId="59" xfId="0" applyFont="1" applyBorder="1" applyAlignment="1">
      <alignment horizontal="center" vertical="center"/>
    </xf>
    <xf numFmtId="164" fontId="13" fillId="0" borderId="57" xfId="0" applyNumberFormat="1" applyFont="1" applyBorder="1" applyAlignment="1">
      <alignment horizontal="center" vertical="center"/>
    </xf>
    <xf numFmtId="164" fontId="13" fillId="0" borderId="23" xfId="0" applyNumberFormat="1" applyFont="1" applyBorder="1" applyAlignment="1">
      <alignment horizontal="center" vertical="center"/>
    </xf>
    <xf numFmtId="166" fontId="2" fillId="0" borderId="57" xfId="0" applyNumberFormat="1" applyFont="1" applyBorder="1" applyAlignment="1">
      <alignment horizontal="center" vertical="center"/>
    </xf>
    <xf numFmtId="0" fontId="13" fillId="6" borderId="56" xfId="0" applyFont="1" applyFill="1" applyBorder="1" applyAlignment="1">
      <alignment horizontal="center" vertical="center"/>
    </xf>
    <xf numFmtId="0" fontId="13" fillId="8" borderId="56" xfId="0" applyFont="1" applyFill="1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2" fontId="2" fillId="0" borderId="41" xfId="0" applyNumberFormat="1" applyFont="1" applyBorder="1" applyAlignment="1">
      <alignment horizontal="center" vertical="center"/>
    </xf>
    <xf numFmtId="168" fontId="2" fillId="0" borderId="44" xfId="0" applyNumberFormat="1" applyFont="1" applyBorder="1" applyAlignment="1">
      <alignment horizontal="center" vertical="center"/>
    </xf>
    <xf numFmtId="2" fontId="2" fillId="0" borderId="43" xfId="0" applyNumberFormat="1" applyFont="1" applyBorder="1" applyAlignment="1">
      <alignment horizontal="center" vertical="center"/>
    </xf>
    <xf numFmtId="2" fontId="2" fillId="2" borderId="45" xfId="0" applyNumberFormat="1" applyFont="1" applyFill="1" applyBorder="1" applyAlignment="1">
      <alignment horizontal="center" vertical="center"/>
    </xf>
    <xf numFmtId="0" fontId="13" fillId="8" borderId="21" xfId="0" applyFont="1" applyFill="1" applyBorder="1" applyAlignment="1">
      <alignment horizontal="center" vertical="center"/>
    </xf>
    <xf numFmtId="164" fontId="13" fillId="0" borderId="34" xfId="0" applyNumberFormat="1" applyFont="1" applyBorder="1" applyAlignment="1">
      <alignment horizontal="center" vertical="center"/>
    </xf>
    <xf numFmtId="164" fontId="13" fillId="0" borderId="35" xfId="0" applyNumberFormat="1" applyFont="1" applyBorder="1" applyAlignment="1">
      <alignment horizontal="center" vertical="center"/>
    </xf>
    <xf numFmtId="2" fontId="2" fillId="0" borderId="37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164" fontId="13" fillId="0" borderId="58" xfId="0" applyNumberFormat="1" applyFont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8" fontId="2" fillId="0" borderId="57" xfId="0" applyNumberFormat="1" applyFont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169" fontId="13" fillId="2" borderId="8" xfId="0" applyNumberFormat="1" applyFont="1" applyFill="1" applyBorder="1" applyAlignment="1">
      <alignment horizontal="center" vertical="center"/>
    </xf>
    <xf numFmtId="2" fontId="13" fillId="2" borderId="8" xfId="0" applyNumberFormat="1" applyFont="1" applyFill="1" applyBorder="1" applyAlignment="1">
      <alignment horizontal="center" vertical="center"/>
    </xf>
    <xf numFmtId="2" fontId="13" fillId="2" borderId="60" xfId="0" applyNumberFormat="1" applyFont="1" applyFill="1" applyBorder="1" applyAlignment="1">
      <alignment horizontal="center" vertical="center"/>
    </xf>
    <xf numFmtId="168" fontId="13" fillId="2" borderId="17" xfId="0" applyNumberFormat="1" applyFont="1" applyFill="1" applyBorder="1" applyAlignment="1">
      <alignment horizontal="center" vertical="center"/>
    </xf>
    <xf numFmtId="168" fontId="13" fillId="2" borderId="18" xfId="0" applyNumberFormat="1" applyFont="1" applyFill="1" applyBorder="1" applyAlignment="1">
      <alignment horizontal="center" vertical="center"/>
    </xf>
    <xf numFmtId="2" fontId="2" fillId="0" borderId="45" xfId="0" applyNumberFormat="1" applyFont="1" applyBorder="1" applyAlignment="1">
      <alignment horizontal="center" vertical="center"/>
    </xf>
    <xf numFmtId="2" fontId="2" fillId="0" borderId="46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 wrapText="1"/>
    </xf>
    <xf numFmtId="0" fontId="7" fillId="4" borderId="29" xfId="0" applyFont="1" applyFill="1" applyBorder="1" applyAlignment="1">
      <alignment horizontal="center" vertical="center" wrapText="1"/>
    </xf>
    <xf numFmtId="0" fontId="7" fillId="4" borderId="30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169" fontId="6" fillId="3" borderId="19" xfId="0" applyNumberFormat="1" applyFont="1" applyFill="1" applyBorder="1" applyAlignment="1">
      <alignment horizontal="center" vertical="center"/>
    </xf>
    <xf numFmtId="169" fontId="6" fillId="3" borderId="20" xfId="0" applyNumberFormat="1" applyFont="1" applyFill="1" applyBorder="1" applyAlignment="1">
      <alignment horizontal="center" vertical="center"/>
    </xf>
    <xf numFmtId="169" fontId="6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49" fontId="7" fillId="4" borderId="19" xfId="0" applyNumberFormat="1" applyFont="1" applyFill="1" applyBorder="1" applyAlignment="1">
      <alignment horizontal="center" vertical="center" wrapText="1"/>
    </xf>
    <xf numFmtId="49" fontId="7" fillId="4" borderId="29" xfId="0" applyNumberFormat="1" applyFont="1" applyFill="1" applyBorder="1" applyAlignment="1">
      <alignment horizontal="center" vertical="center" wrapText="1"/>
    </xf>
    <xf numFmtId="49" fontId="7" fillId="4" borderId="30" xfId="0" applyNumberFormat="1" applyFont="1" applyFill="1" applyBorder="1" applyAlignment="1">
      <alignment horizontal="center" vertical="center" wrapText="1"/>
    </xf>
    <xf numFmtId="169" fontId="6" fillId="3" borderId="1" xfId="0" applyNumberFormat="1" applyFont="1" applyFill="1" applyBorder="1" applyAlignment="1">
      <alignment horizontal="center" vertical="center"/>
    </xf>
    <xf numFmtId="169" fontId="6" fillId="3" borderId="2" xfId="0" applyNumberFormat="1" applyFont="1" applyFill="1" applyBorder="1" applyAlignment="1">
      <alignment horizontal="center" vertical="center"/>
    </xf>
    <xf numFmtId="169" fontId="6" fillId="3" borderId="3" xfId="0" applyNumberFormat="1" applyFont="1" applyFill="1" applyBorder="1" applyAlignment="1">
      <alignment horizontal="center" vertical="center"/>
    </xf>
    <xf numFmtId="2" fontId="3" fillId="4" borderId="40" xfId="0" applyNumberFormat="1" applyFont="1" applyFill="1" applyBorder="1" applyAlignment="1">
      <alignment horizontal="center" vertical="center"/>
    </xf>
    <xf numFmtId="2" fontId="3" fillId="4" borderId="49" xfId="0" applyNumberFormat="1" applyFont="1" applyFill="1" applyBorder="1" applyAlignment="1">
      <alignment horizontal="center" vertical="center"/>
    </xf>
    <xf numFmtId="2" fontId="3" fillId="4" borderId="42" xfId="0" applyNumberFormat="1" applyFont="1" applyFill="1" applyBorder="1" applyAlignment="1">
      <alignment horizontal="center" vertical="center"/>
    </xf>
    <xf numFmtId="2" fontId="3" fillId="4" borderId="6" xfId="0" applyNumberFormat="1" applyFont="1" applyFill="1" applyBorder="1" applyAlignment="1">
      <alignment horizontal="center" vertic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164" fontId="1" fillId="4" borderId="24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4" borderId="2" xfId="0" applyNumberFormat="1" applyFont="1" applyFill="1" applyBorder="1" applyAlignment="1">
      <alignment horizontal="center" vertical="center"/>
    </xf>
    <xf numFmtId="164" fontId="1" fillId="4" borderId="3" xfId="0" applyNumberFormat="1" applyFont="1" applyFill="1" applyBorder="1" applyAlignment="1">
      <alignment horizontal="center" vertical="center"/>
    </xf>
    <xf numFmtId="164" fontId="1" fillId="3" borderId="20" xfId="0" applyNumberFormat="1" applyFont="1" applyFill="1" applyBorder="1" applyAlignment="1">
      <alignment horizontal="center" vertical="center"/>
    </xf>
    <xf numFmtId="164" fontId="1" fillId="3" borderId="24" xfId="0" applyNumberFormat="1" applyFon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1" fillId="3" borderId="52" xfId="0" applyNumberFormat="1" applyFont="1" applyFill="1" applyBorder="1" applyAlignment="1">
      <alignment horizontal="center" vertical="center"/>
    </xf>
    <xf numFmtId="2" fontId="3" fillId="4" borderId="4" xfId="0" applyNumberFormat="1" applyFont="1" applyFill="1" applyBorder="1" applyAlignment="1">
      <alignment horizontal="center" vertical="center"/>
    </xf>
    <xf numFmtId="2" fontId="3" fillId="4" borderId="5" xfId="0" applyNumberFormat="1" applyFont="1" applyFill="1" applyBorder="1" applyAlignment="1">
      <alignment horizontal="center" vertical="center"/>
    </xf>
    <xf numFmtId="2" fontId="3" fillId="4" borderId="7" xfId="0" applyNumberFormat="1" applyFont="1" applyFill="1" applyBorder="1" applyAlignment="1">
      <alignment horizontal="center" vertical="center"/>
    </xf>
    <xf numFmtId="2" fontId="3" fillId="4" borderId="38" xfId="0" applyNumberFormat="1" applyFont="1" applyFill="1" applyBorder="1" applyAlignment="1">
      <alignment horizontal="center" vertical="center"/>
    </xf>
    <xf numFmtId="2" fontId="3" fillId="4" borderId="16" xfId="0" applyNumberFormat="1" applyFont="1" applyFill="1" applyBorder="1" applyAlignment="1">
      <alignment horizontal="center" vertical="center"/>
    </xf>
    <xf numFmtId="2" fontId="3" fillId="4" borderId="8" xfId="0" applyNumberFormat="1" applyFont="1" applyFill="1" applyBorder="1" applyAlignment="1">
      <alignment horizontal="center" vertical="center"/>
    </xf>
    <xf numFmtId="164" fontId="1" fillId="3" borderId="19" xfId="0" applyNumberFormat="1" applyFont="1" applyFill="1" applyBorder="1" applyAlignment="1">
      <alignment horizontal="center" vertical="center"/>
    </xf>
    <xf numFmtId="164" fontId="1" fillId="3" borderId="37" xfId="0" applyNumberFormat="1" applyFont="1" applyFill="1" applyBorder="1" applyAlignment="1">
      <alignment horizontal="center" vertical="center"/>
    </xf>
    <xf numFmtId="164" fontId="1" fillId="4" borderId="4" xfId="0" applyNumberFormat="1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 wrapText="1"/>
    </xf>
    <xf numFmtId="164" fontId="1" fillId="4" borderId="6" xfId="0" applyNumberFormat="1" applyFont="1" applyFill="1" applyBorder="1" applyAlignment="1">
      <alignment horizontal="center" vertical="center" wrapText="1"/>
    </xf>
    <xf numFmtId="164" fontId="1" fillId="4" borderId="7" xfId="0" applyNumberFormat="1" applyFont="1" applyFill="1" applyBorder="1" applyAlignment="1">
      <alignment horizontal="center" vertical="center" wrapText="1"/>
    </xf>
    <xf numFmtId="164" fontId="1" fillId="3" borderId="4" xfId="0" applyNumberFormat="1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 wrapText="1"/>
    </xf>
    <xf numFmtId="164" fontId="1" fillId="3" borderId="7" xfId="0" applyNumberFormat="1" applyFont="1" applyFill="1" applyBorder="1" applyAlignment="1">
      <alignment horizontal="center" vertical="center" wrapText="1"/>
    </xf>
    <xf numFmtId="164" fontId="1" fillId="3" borderId="42" xfId="0" applyNumberFormat="1" applyFont="1" applyFill="1" applyBorder="1" applyAlignment="1">
      <alignment horizontal="center" vertical="center" wrapText="1"/>
    </xf>
    <xf numFmtId="0" fontId="14" fillId="0" borderId="66" xfId="0" applyFont="1" applyBorder="1" applyAlignment="1">
      <alignment horizontal="center" vertical="center"/>
    </xf>
    <xf numFmtId="0" fontId="13" fillId="7" borderId="40" xfId="0" applyFont="1" applyFill="1" applyBorder="1" applyAlignment="1">
      <alignment horizontal="center" vertical="center"/>
    </xf>
    <xf numFmtId="0" fontId="13" fillId="7" borderId="61" xfId="0" applyFont="1" applyFill="1" applyBorder="1" applyAlignment="1">
      <alignment horizontal="center" vertical="center"/>
    </xf>
    <xf numFmtId="0" fontId="13" fillId="7" borderId="4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164" fontId="3" fillId="4" borderId="40" xfId="0" applyNumberFormat="1" applyFont="1" applyFill="1" applyBorder="1" applyAlignment="1">
      <alignment horizontal="center" vertical="center" wrapText="1"/>
    </xf>
    <xf numFmtId="164" fontId="3" fillId="4" borderId="49" xfId="0" applyNumberFormat="1" applyFont="1" applyFill="1" applyBorder="1" applyAlignment="1">
      <alignment horizontal="center" vertical="center" wrapText="1"/>
    </xf>
    <xf numFmtId="164" fontId="3" fillId="4" borderId="4" xfId="0" applyNumberFormat="1" applyFont="1" applyFill="1" applyBorder="1" applyAlignment="1">
      <alignment horizontal="center" vertical="center" wrapText="1"/>
    </xf>
    <xf numFmtId="164" fontId="3" fillId="4" borderId="7" xfId="0" applyNumberFormat="1" applyFont="1" applyFill="1" applyBorder="1" applyAlignment="1">
      <alignment horizontal="center" vertical="center" wrapText="1"/>
    </xf>
    <xf numFmtId="0" fontId="13" fillId="5" borderId="40" xfId="0" applyFont="1" applyFill="1" applyBorder="1" applyAlignment="1">
      <alignment horizontal="center" vertical="center"/>
    </xf>
    <xf numFmtId="0" fontId="13" fillId="5" borderId="49" xfId="0" applyFont="1" applyFill="1" applyBorder="1" applyAlignment="1">
      <alignment horizontal="center" vertical="center"/>
    </xf>
    <xf numFmtId="0" fontId="13" fillId="5" borderId="61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164" fontId="3" fillId="4" borderId="61" xfId="0" applyNumberFormat="1" applyFont="1" applyFill="1" applyBorder="1" applyAlignment="1">
      <alignment horizontal="center" vertical="center" wrapText="1"/>
    </xf>
    <xf numFmtId="164" fontId="3" fillId="4" borderId="5" xfId="0" applyNumberFormat="1" applyFont="1" applyFill="1" applyBorder="1" applyAlignment="1">
      <alignment horizontal="center" vertical="center" wrapText="1"/>
    </xf>
    <xf numFmtId="164" fontId="3" fillId="4" borderId="6" xfId="0" applyNumberFormat="1" applyFont="1" applyFill="1" applyBorder="1" applyAlignment="1">
      <alignment horizontal="center" vertical="center" wrapText="1"/>
    </xf>
    <xf numFmtId="0" fontId="11" fillId="5" borderId="40" xfId="0" applyFont="1" applyFill="1" applyBorder="1" applyAlignment="1">
      <alignment horizontal="center" vertical="center"/>
    </xf>
    <xf numFmtId="0" fontId="11" fillId="5" borderId="49" xfId="0" applyFont="1" applyFill="1" applyBorder="1" applyAlignment="1">
      <alignment horizontal="center" vertical="center"/>
    </xf>
    <xf numFmtId="0" fontId="11" fillId="5" borderId="6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 wrapText="1"/>
    </xf>
    <xf numFmtId="164" fontId="1" fillId="4" borderId="2" xfId="0" applyNumberFormat="1" applyFont="1" applyFill="1" applyBorder="1" applyAlignment="1">
      <alignment horizontal="center" vertical="center" wrapText="1"/>
    </xf>
    <xf numFmtId="164" fontId="1" fillId="4" borderId="3" xfId="0" applyNumberFormat="1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24" xfId="0" applyFont="1" applyFill="1" applyBorder="1" applyAlignment="1">
      <alignment horizontal="center" vertical="center"/>
    </xf>
    <xf numFmtId="164" fontId="3" fillId="4" borderId="25" xfId="0" applyNumberFormat="1" applyFont="1" applyFill="1" applyBorder="1" applyAlignment="1">
      <alignment horizontal="center" vertical="center" wrapText="1"/>
    </xf>
    <xf numFmtId="164" fontId="3" fillId="4" borderId="16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/>
    </xf>
    <xf numFmtId="0" fontId="13" fillId="5" borderId="5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164" fontId="3" fillId="4" borderId="42" xfId="0" applyNumberFormat="1" applyFont="1" applyFill="1" applyBorder="1" applyAlignment="1">
      <alignment horizontal="center" vertical="center" wrapText="1"/>
    </xf>
    <xf numFmtId="164" fontId="3" fillId="4" borderId="8" xfId="0" applyNumberFormat="1" applyFont="1" applyFill="1" applyBorder="1" applyAlignment="1">
      <alignment horizontal="center" vertical="center" wrapText="1"/>
    </xf>
    <xf numFmtId="0" fontId="13" fillId="5" borderId="42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68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5" borderId="47" xfId="0" applyFont="1" applyFill="1" applyBorder="1" applyAlignment="1">
      <alignment horizontal="center" vertical="center"/>
    </xf>
    <xf numFmtId="0" fontId="13" fillId="5" borderId="5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4BFF"/>
      <color rgb="FFFFAFFF"/>
      <color rgb="FFFF85FF"/>
      <color rgb="FFFFA7FF"/>
      <color rgb="FFFFD5FF"/>
      <color rgb="FFFFFFC1"/>
      <color rgb="FFFFEBFF"/>
      <color rgb="FFFFFFA3"/>
      <color rgb="FFFFC1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3">
    <tabColor rgb="FF92D050"/>
  </sheetPr>
  <dimension ref="A1:G41"/>
  <sheetViews>
    <sheetView zoomScale="80" zoomScaleNormal="80" workbookViewId="0">
      <selection activeCell="I12" sqref="I12"/>
    </sheetView>
  </sheetViews>
  <sheetFormatPr defaultColWidth="9.109375" defaultRowHeight="14.4"/>
  <cols>
    <col min="1" max="1" width="13.5546875" style="43" bestFit="1" customWidth="1"/>
    <col min="2" max="2" width="15.109375" style="43" customWidth="1"/>
    <col min="3" max="3" width="15.6640625" style="43" customWidth="1"/>
    <col min="4" max="5" width="23.109375" style="43" bestFit="1" customWidth="1"/>
    <col min="6" max="7" width="25.109375" style="124" bestFit="1" customWidth="1"/>
    <col min="8" max="16384" width="9.109375" style="43"/>
  </cols>
  <sheetData>
    <row r="1" spans="1:7" ht="15" thickBot="1">
      <c r="F1" s="43"/>
      <c r="G1" s="43"/>
    </row>
    <row r="2" spans="1:7" s="77" customFormat="1" ht="19.5" customHeight="1" thickBot="1">
      <c r="B2" s="562" t="s">
        <v>1</v>
      </c>
      <c r="C2" s="563"/>
      <c r="D2" s="107" t="s">
        <v>16</v>
      </c>
      <c r="E2" s="110" t="s">
        <v>17</v>
      </c>
      <c r="F2" s="103" t="s">
        <v>42</v>
      </c>
      <c r="G2" s="202" t="s">
        <v>43</v>
      </c>
    </row>
    <row r="3" spans="1:7" ht="15" thickBot="1">
      <c r="B3" s="28" t="s">
        <v>14</v>
      </c>
      <c r="C3" s="94" t="s">
        <v>15</v>
      </c>
      <c r="D3" s="108" t="s">
        <v>18</v>
      </c>
      <c r="E3" s="105" t="s">
        <v>18</v>
      </c>
      <c r="F3" s="104" t="s">
        <v>18</v>
      </c>
      <c r="G3" s="203" t="s">
        <v>18</v>
      </c>
    </row>
    <row r="4" spans="1:7">
      <c r="A4" s="197" t="s">
        <v>40</v>
      </c>
      <c r="B4" s="25">
        <f t="shared" ref="B4:G4" si="0">AVERAGE(B6:B15)</f>
        <v>57.734999999999999</v>
      </c>
      <c r="C4" s="27">
        <f t="shared" si="0"/>
        <v>47</v>
      </c>
      <c r="D4" s="109" t="e">
        <f t="shared" si="0"/>
        <v>#DIV/0!</v>
      </c>
      <c r="E4" s="106" t="e">
        <f t="shared" si="0"/>
        <v>#DIV/0!</v>
      </c>
      <c r="F4" s="153">
        <f t="shared" si="0"/>
        <v>-47</v>
      </c>
      <c r="G4" s="204">
        <f t="shared" si="0"/>
        <v>-47</v>
      </c>
    </row>
    <row r="5" spans="1:7" ht="15" thickBot="1">
      <c r="A5" s="198" t="s">
        <v>41</v>
      </c>
      <c r="B5" s="136">
        <f>STDEV(B6:B15)/B4*100</f>
        <v>0</v>
      </c>
      <c r="C5" s="148">
        <f>STDEV(C6:C15)/C4*100</f>
        <v>0</v>
      </c>
      <c r="D5" s="149" t="e">
        <f>STDEV(D6:D15)/D4*100</f>
        <v>#DIV/0!</v>
      </c>
      <c r="E5" s="150" t="e">
        <f>STDEV(E6:E15)/E4*100</f>
        <v>#DIV/0!</v>
      </c>
      <c r="F5" s="154">
        <f>100*STDEV(F6:F15)/$C$4</f>
        <v>0</v>
      </c>
      <c r="G5" s="252">
        <f>100*STDEV(G6:G15)/$C$4</f>
        <v>0</v>
      </c>
    </row>
    <row r="6" spans="1:7">
      <c r="A6" s="559" t="s">
        <v>19</v>
      </c>
      <c r="B6" s="9">
        <v>57.734999999999999</v>
      </c>
      <c r="C6" s="111">
        <v>47</v>
      </c>
      <c r="D6" s="112"/>
      <c r="E6" s="151"/>
      <c r="F6" s="155">
        <f>(D6-C6)</f>
        <v>-47</v>
      </c>
      <c r="G6" s="205">
        <f>(E6-C6)</f>
        <v>-47</v>
      </c>
    </row>
    <row r="7" spans="1:7">
      <c r="A7" s="560"/>
      <c r="B7" s="85">
        <v>57.734999999999999</v>
      </c>
      <c r="C7" s="114">
        <v>47</v>
      </c>
      <c r="D7" s="115"/>
      <c r="E7" s="152"/>
      <c r="F7" s="156">
        <f t="shared" ref="F7:F15" si="1">(D7-C7)</f>
        <v>-47</v>
      </c>
      <c r="G7" s="157">
        <f t="shared" ref="G7:G15" si="2">(E7-C7)</f>
        <v>-47</v>
      </c>
    </row>
    <row r="8" spans="1:7">
      <c r="A8" s="560"/>
      <c r="B8" s="85">
        <v>57.734999999999999</v>
      </c>
      <c r="C8" s="114">
        <v>47</v>
      </c>
      <c r="D8" s="115"/>
      <c r="E8" s="152"/>
      <c r="F8" s="156">
        <f t="shared" si="1"/>
        <v>-47</v>
      </c>
      <c r="G8" s="157">
        <f t="shared" si="2"/>
        <v>-47</v>
      </c>
    </row>
    <row r="9" spans="1:7">
      <c r="A9" s="560"/>
      <c r="B9" s="85">
        <v>57.734999999999999</v>
      </c>
      <c r="C9" s="114">
        <v>47</v>
      </c>
      <c r="D9" s="115"/>
      <c r="E9" s="152"/>
      <c r="F9" s="156">
        <f t="shared" si="1"/>
        <v>-47</v>
      </c>
      <c r="G9" s="157">
        <f t="shared" si="2"/>
        <v>-47</v>
      </c>
    </row>
    <row r="10" spans="1:7">
      <c r="A10" s="560"/>
      <c r="B10" s="85">
        <v>57.734999999999999</v>
      </c>
      <c r="C10" s="114">
        <v>47</v>
      </c>
      <c r="D10" s="115"/>
      <c r="E10" s="152"/>
      <c r="F10" s="156">
        <f t="shared" si="1"/>
        <v>-47</v>
      </c>
      <c r="G10" s="157">
        <f t="shared" si="2"/>
        <v>-47</v>
      </c>
    </row>
    <row r="11" spans="1:7" s="117" customFormat="1" ht="14.25" customHeight="1">
      <c r="A11" s="560"/>
      <c r="B11" s="85">
        <v>57.734999999999999</v>
      </c>
      <c r="C11" s="114">
        <v>47</v>
      </c>
      <c r="D11" s="115"/>
      <c r="E11" s="152"/>
      <c r="F11" s="156">
        <f t="shared" si="1"/>
        <v>-47</v>
      </c>
      <c r="G11" s="157">
        <f t="shared" si="2"/>
        <v>-47</v>
      </c>
    </row>
    <row r="12" spans="1:7" s="117" customFormat="1" ht="15" customHeight="1">
      <c r="A12" s="560"/>
      <c r="B12" s="85">
        <v>57.734999999999999</v>
      </c>
      <c r="C12" s="114">
        <v>47</v>
      </c>
      <c r="D12" s="115"/>
      <c r="E12" s="152"/>
      <c r="F12" s="156">
        <f t="shared" si="1"/>
        <v>-47</v>
      </c>
      <c r="G12" s="157">
        <f t="shared" si="2"/>
        <v>-47</v>
      </c>
    </row>
    <row r="13" spans="1:7" s="117" customFormat="1" ht="15" customHeight="1">
      <c r="A13" s="560"/>
      <c r="B13" s="85">
        <v>57.734999999999999</v>
      </c>
      <c r="C13" s="114">
        <v>47</v>
      </c>
      <c r="D13" s="115"/>
      <c r="E13" s="152"/>
      <c r="F13" s="156">
        <f t="shared" si="1"/>
        <v>-47</v>
      </c>
      <c r="G13" s="157">
        <f t="shared" si="2"/>
        <v>-47</v>
      </c>
    </row>
    <row r="14" spans="1:7" s="117" customFormat="1" ht="15" customHeight="1">
      <c r="A14" s="560"/>
      <c r="B14" s="85">
        <v>57.734999999999999</v>
      </c>
      <c r="C14" s="114">
        <v>47</v>
      </c>
      <c r="D14" s="115"/>
      <c r="E14" s="152"/>
      <c r="F14" s="156">
        <f t="shared" si="1"/>
        <v>-47</v>
      </c>
      <c r="G14" s="157">
        <f t="shared" si="2"/>
        <v>-47</v>
      </c>
    </row>
    <row r="15" spans="1:7" s="117" customFormat="1" ht="15.75" customHeight="1" thickBot="1">
      <c r="A15" s="561"/>
      <c r="B15" s="86">
        <v>57.734999999999999</v>
      </c>
      <c r="C15" s="118">
        <v>47</v>
      </c>
      <c r="D15" s="341"/>
      <c r="E15" s="342"/>
      <c r="F15" s="158">
        <f t="shared" si="1"/>
        <v>-47</v>
      </c>
      <c r="G15" s="159">
        <f t="shared" si="2"/>
        <v>-47</v>
      </c>
    </row>
    <row r="16" spans="1:7">
      <c r="B16" s="80" t="s">
        <v>14</v>
      </c>
      <c r="C16" s="98" t="s">
        <v>15</v>
      </c>
      <c r="D16" s="108" t="s">
        <v>18</v>
      </c>
      <c r="E16" s="105" t="s">
        <v>18</v>
      </c>
      <c r="F16" s="104" t="s">
        <v>18</v>
      </c>
      <c r="G16" s="203" t="s">
        <v>18</v>
      </c>
    </row>
    <row r="17" spans="1:7">
      <c r="B17" s="25">
        <f t="shared" ref="B17:G17" si="3">AVERAGE(B19:B28)</f>
        <v>57.734999999999999</v>
      </c>
      <c r="C17" s="27">
        <f t="shared" si="3"/>
        <v>50</v>
      </c>
      <c r="D17" s="109" t="e">
        <f t="shared" si="3"/>
        <v>#DIV/0!</v>
      </c>
      <c r="E17" s="106" t="e">
        <f t="shared" si="3"/>
        <v>#DIV/0!</v>
      </c>
      <c r="F17" s="153">
        <f t="shared" si="3"/>
        <v>-50</v>
      </c>
      <c r="G17" s="204">
        <f t="shared" si="3"/>
        <v>-50</v>
      </c>
    </row>
    <row r="18" spans="1:7" ht="15" thickBot="1">
      <c r="B18" s="136">
        <f>STDEV(B19:B28)/B17*100</f>
        <v>0</v>
      </c>
      <c r="C18" s="148">
        <f>STDEV(C19:C28)/C17*100</f>
        <v>0</v>
      </c>
      <c r="D18" s="149" t="e">
        <f>STDEV(D19:D28)/D17*100</f>
        <v>#DIV/0!</v>
      </c>
      <c r="E18" s="150" t="e">
        <f>STDEV(E19:E28)/E17*100</f>
        <v>#DIV/0!</v>
      </c>
      <c r="F18" s="154">
        <f>100*STDEV(F19:F28)/$C$17</f>
        <v>0</v>
      </c>
      <c r="G18" s="252">
        <f>100*STDEV(G19:G28)/$C$17</f>
        <v>0</v>
      </c>
    </row>
    <row r="19" spans="1:7" s="117" customFormat="1" ht="14.25" customHeight="1">
      <c r="A19" s="559" t="s">
        <v>20</v>
      </c>
      <c r="B19" s="9">
        <v>57.734999999999999</v>
      </c>
      <c r="C19" s="111">
        <v>50</v>
      </c>
      <c r="D19" s="112"/>
      <c r="E19" s="113"/>
      <c r="F19" s="155">
        <f>(D19-C19)</f>
        <v>-50</v>
      </c>
      <c r="G19" s="205">
        <f>(E19-C19)</f>
        <v>-50</v>
      </c>
    </row>
    <row r="20" spans="1:7" s="117" customFormat="1" ht="15" customHeight="1">
      <c r="A20" s="560"/>
      <c r="B20" s="85">
        <v>57.734999999999999</v>
      </c>
      <c r="C20" s="114">
        <v>50</v>
      </c>
      <c r="D20" s="115"/>
      <c r="E20" s="116"/>
      <c r="F20" s="156">
        <f t="shared" ref="F20:F28" si="4">(D20-C20)</f>
        <v>-50</v>
      </c>
      <c r="G20" s="157">
        <f t="shared" ref="G20:G28" si="5">(E20-C20)</f>
        <v>-50</v>
      </c>
    </row>
    <row r="21" spans="1:7" s="117" customFormat="1" ht="15" customHeight="1">
      <c r="A21" s="560"/>
      <c r="B21" s="85">
        <v>57.734999999999999</v>
      </c>
      <c r="C21" s="114">
        <v>50</v>
      </c>
      <c r="D21" s="115"/>
      <c r="E21" s="116"/>
      <c r="F21" s="156">
        <f t="shared" si="4"/>
        <v>-50</v>
      </c>
      <c r="G21" s="157">
        <f t="shared" si="5"/>
        <v>-50</v>
      </c>
    </row>
    <row r="22" spans="1:7" s="117" customFormat="1" ht="15" customHeight="1">
      <c r="A22" s="560"/>
      <c r="B22" s="85">
        <v>57.734999999999999</v>
      </c>
      <c r="C22" s="114">
        <v>50</v>
      </c>
      <c r="D22" s="115"/>
      <c r="E22" s="116"/>
      <c r="F22" s="156">
        <f t="shared" si="4"/>
        <v>-50</v>
      </c>
      <c r="G22" s="157">
        <f t="shared" si="5"/>
        <v>-50</v>
      </c>
    </row>
    <row r="23" spans="1:7" s="117" customFormat="1" ht="15.75" customHeight="1">
      <c r="A23" s="560"/>
      <c r="B23" s="85">
        <v>57.734999999999999</v>
      </c>
      <c r="C23" s="114">
        <v>50</v>
      </c>
      <c r="D23" s="115"/>
      <c r="E23" s="116"/>
      <c r="F23" s="156">
        <f t="shared" si="4"/>
        <v>-50</v>
      </c>
      <c r="G23" s="157">
        <f t="shared" si="5"/>
        <v>-50</v>
      </c>
    </row>
    <row r="24" spans="1:7" s="117" customFormat="1" ht="15.75" customHeight="1">
      <c r="A24" s="560"/>
      <c r="B24" s="85">
        <v>57.734999999999999</v>
      </c>
      <c r="C24" s="114">
        <v>50</v>
      </c>
      <c r="D24" s="115"/>
      <c r="E24" s="116"/>
      <c r="F24" s="156">
        <f t="shared" si="4"/>
        <v>-50</v>
      </c>
      <c r="G24" s="157">
        <f t="shared" si="5"/>
        <v>-50</v>
      </c>
    </row>
    <row r="25" spans="1:7" s="117" customFormat="1" ht="15.75" customHeight="1">
      <c r="A25" s="560"/>
      <c r="B25" s="85">
        <v>57.734999999999999</v>
      </c>
      <c r="C25" s="114">
        <v>50</v>
      </c>
      <c r="D25" s="115"/>
      <c r="E25" s="116"/>
      <c r="F25" s="156">
        <f t="shared" si="4"/>
        <v>-50</v>
      </c>
      <c r="G25" s="157">
        <f t="shared" si="5"/>
        <v>-50</v>
      </c>
    </row>
    <row r="26" spans="1:7" s="117" customFormat="1" ht="15.75" customHeight="1">
      <c r="A26" s="560"/>
      <c r="B26" s="85">
        <v>57.734999999999999</v>
      </c>
      <c r="C26" s="114">
        <v>50</v>
      </c>
      <c r="D26" s="115"/>
      <c r="E26" s="116"/>
      <c r="F26" s="156">
        <f t="shared" si="4"/>
        <v>-50</v>
      </c>
      <c r="G26" s="157">
        <f t="shared" si="5"/>
        <v>-50</v>
      </c>
    </row>
    <row r="27" spans="1:7" s="117" customFormat="1" ht="15.75" customHeight="1">
      <c r="A27" s="560"/>
      <c r="B27" s="85">
        <v>57.734999999999999</v>
      </c>
      <c r="C27" s="114">
        <v>50</v>
      </c>
      <c r="D27" s="115"/>
      <c r="E27" s="116"/>
      <c r="F27" s="156">
        <f t="shared" si="4"/>
        <v>-50</v>
      </c>
      <c r="G27" s="157">
        <f t="shared" si="5"/>
        <v>-50</v>
      </c>
    </row>
    <row r="28" spans="1:7" s="117" customFormat="1" ht="15.75" customHeight="1" thickBot="1">
      <c r="A28" s="561"/>
      <c r="B28" s="86">
        <v>57.734999999999999</v>
      </c>
      <c r="C28" s="118">
        <v>50</v>
      </c>
      <c r="D28" s="119"/>
      <c r="E28" s="120"/>
      <c r="F28" s="158">
        <f t="shared" si="4"/>
        <v>-50</v>
      </c>
      <c r="G28" s="159">
        <f t="shared" si="5"/>
        <v>-50</v>
      </c>
    </row>
    <row r="29" spans="1:7">
      <c r="B29" s="80" t="s">
        <v>14</v>
      </c>
      <c r="C29" s="40" t="s">
        <v>15</v>
      </c>
      <c r="D29" s="105" t="s">
        <v>18</v>
      </c>
      <c r="E29" s="105" t="s">
        <v>18</v>
      </c>
      <c r="F29" s="104" t="s">
        <v>18</v>
      </c>
      <c r="G29" s="203" t="s">
        <v>18</v>
      </c>
    </row>
    <row r="30" spans="1:7">
      <c r="B30" s="25">
        <f t="shared" ref="B30:G30" si="6">AVERAGE(B32:B41)</f>
        <v>57.734999999999999</v>
      </c>
      <c r="C30" s="27">
        <f t="shared" si="6"/>
        <v>53</v>
      </c>
      <c r="D30" s="109" t="e">
        <f t="shared" si="6"/>
        <v>#DIV/0!</v>
      </c>
      <c r="E30" s="106" t="e">
        <f t="shared" si="6"/>
        <v>#DIV/0!</v>
      </c>
      <c r="F30" s="153">
        <f t="shared" si="6"/>
        <v>-53</v>
      </c>
      <c r="G30" s="204">
        <f t="shared" si="6"/>
        <v>-53</v>
      </c>
    </row>
    <row r="31" spans="1:7" ht="15" thickBot="1">
      <c r="B31" s="136">
        <f>STDEV(B32:B41)/B30*100</f>
        <v>0</v>
      </c>
      <c r="C31" s="148">
        <f>STDEV(C32:C41)/C30*100</f>
        <v>0</v>
      </c>
      <c r="D31" s="149" t="e">
        <f>STDEV(D32:D41)/D30*100</f>
        <v>#DIV/0!</v>
      </c>
      <c r="E31" s="150" t="e">
        <f>STDEV(E32:E41)/E30*100</f>
        <v>#DIV/0!</v>
      </c>
      <c r="F31" s="154">
        <f>100*STDEV(F32:F41)/$C$30</f>
        <v>0</v>
      </c>
      <c r="G31" s="252">
        <f>100*STDEV(G32:G41)/$C$30</f>
        <v>0</v>
      </c>
    </row>
    <row r="32" spans="1:7" s="117" customFormat="1" ht="14.25" customHeight="1">
      <c r="A32" s="559" t="s">
        <v>21</v>
      </c>
      <c r="B32" s="9">
        <v>57.734999999999999</v>
      </c>
      <c r="C32" s="121">
        <v>53</v>
      </c>
      <c r="D32" s="113"/>
      <c r="E32" s="113"/>
      <c r="F32" s="155">
        <f>(D32-C32)</f>
        <v>-53</v>
      </c>
      <c r="G32" s="205">
        <f>(E32-C32)</f>
        <v>-53</v>
      </c>
    </row>
    <row r="33" spans="1:7" s="117" customFormat="1" ht="15" customHeight="1">
      <c r="A33" s="560"/>
      <c r="B33" s="85">
        <v>57.734999999999999</v>
      </c>
      <c r="C33" s="122">
        <v>53</v>
      </c>
      <c r="D33" s="116"/>
      <c r="E33" s="116"/>
      <c r="F33" s="156">
        <f t="shared" ref="F33:F41" si="7">(D33-C33)</f>
        <v>-53</v>
      </c>
      <c r="G33" s="157">
        <f t="shared" ref="G33:G41" si="8">(E33-C33)</f>
        <v>-53</v>
      </c>
    </row>
    <row r="34" spans="1:7" s="117" customFormat="1" ht="15" customHeight="1">
      <c r="A34" s="560"/>
      <c r="B34" s="85">
        <v>57.734999999999999</v>
      </c>
      <c r="C34" s="122">
        <v>53</v>
      </c>
      <c r="D34" s="116"/>
      <c r="E34" s="116"/>
      <c r="F34" s="156">
        <f t="shared" si="7"/>
        <v>-53</v>
      </c>
      <c r="G34" s="157">
        <f t="shared" si="8"/>
        <v>-53</v>
      </c>
    </row>
    <row r="35" spans="1:7" s="117" customFormat="1" ht="15" customHeight="1">
      <c r="A35" s="560"/>
      <c r="B35" s="85">
        <v>57.734999999999999</v>
      </c>
      <c r="C35" s="122">
        <v>53</v>
      </c>
      <c r="D35" s="116"/>
      <c r="E35" s="116"/>
      <c r="F35" s="156">
        <f t="shared" si="7"/>
        <v>-53</v>
      </c>
      <c r="G35" s="157">
        <f t="shared" si="8"/>
        <v>-53</v>
      </c>
    </row>
    <row r="36" spans="1:7" s="117" customFormat="1" ht="15.75" customHeight="1">
      <c r="A36" s="560"/>
      <c r="B36" s="85">
        <v>57.734999999999999</v>
      </c>
      <c r="C36" s="122">
        <v>53</v>
      </c>
      <c r="D36" s="116"/>
      <c r="E36" s="116"/>
      <c r="F36" s="156">
        <f t="shared" si="7"/>
        <v>-53</v>
      </c>
      <c r="G36" s="157">
        <f t="shared" si="8"/>
        <v>-53</v>
      </c>
    </row>
    <row r="37" spans="1:7">
      <c r="A37" s="560"/>
      <c r="B37" s="85">
        <v>57.734999999999999</v>
      </c>
      <c r="C37" s="122">
        <v>53</v>
      </c>
      <c r="D37" s="116"/>
      <c r="E37" s="116"/>
      <c r="F37" s="156">
        <f t="shared" si="7"/>
        <v>-53</v>
      </c>
      <c r="G37" s="157">
        <f t="shared" si="8"/>
        <v>-53</v>
      </c>
    </row>
    <row r="38" spans="1:7">
      <c r="A38" s="560"/>
      <c r="B38" s="85">
        <v>57.734999999999999</v>
      </c>
      <c r="C38" s="122">
        <v>53</v>
      </c>
      <c r="D38" s="116"/>
      <c r="E38" s="116"/>
      <c r="F38" s="156">
        <f t="shared" si="7"/>
        <v>-53</v>
      </c>
      <c r="G38" s="157">
        <f t="shared" si="8"/>
        <v>-53</v>
      </c>
    </row>
    <row r="39" spans="1:7">
      <c r="A39" s="560"/>
      <c r="B39" s="85">
        <v>57.734999999999999</v>
      </c>
      <c r="C39" s="122">
        <v>53</v>
      </c>
      <c r="D39" s="116"/>
      <c r="E39" s="116"/>
      <c r="F39" s="156">
        <f t="shared" si="7"/>
        <v>-53</v>
      </c>
      <c r="G39" s="157">
        <f t="shared" si="8"/>
        <v>-53</v>
      </c>
    </row>
    <row r="40" spans="1:7">
      <c r="A40" s="560"/>
      <c r="B40" s="85">
        <v>57.734999999999999</v>
      </c>
      <c r="C40" s="122">
        <v>53</v>
      </c>
      <c r="D40" s="116"/>
      <c r="E40" s="116"/>
      <c r="F40" s="156">
        <f t="shared" si="7"/>
        <v>-53</v>
      </c>
      <c r="G40" s="157">
        <f t="shared" si="8"/>
        <v>-53</v>
      </c>
    </row>
    <row r="41" spans="1:7" ht="15" thickBot="1">
      <c r="A41" s="561"/>
      <c r="B41" s="86">
        <v>57.734999999999999</v>
      </c>
      <c r="C41" s="123">
        <v>53</v>
      </c>
      <c r="D41" s="120"/>
      <c r="E41" s="120"/>
      <c r="F41" s="158">
        <f t="shared" si="7"/>
        <v>-53</v>
      </c>
      <c r="G41" s="159">
        <f t="shared" si="8"/>
        <v>-53</v>
      </c>
    </row>
  </sheetData>
  <mergeCells count="4">
    <mergeCell ref="A19:A28"/>
    <mergeCell ref="A32:A41"/>
    <mergeCell ref="A6:A15"/>
    <mergeCell ref="B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1">
    <tabColor rgb="FF92D050"/>
  </sheetPr>
  <dimension ref="A1:N28"/>
  <sheetViews>
    <sheetView zoomScale="90" zoomScaleNormal="90" workbookViewId="0">
      <selection activeCell="H15" sqref="H15"/>
    </sheetView>
  </sheetViews>
  <sheetFormatPr defaultColWidth="10.6640625" defaultRowHeight="14.1" customHeight="1"/>
  <cols>
    <col min="1" max="1" width="12.88671875" style="1" bestFit="1" customWidth="1"/>
    <col min="2" max="2" width="29.6640625" style="1" bestFit="1" customWidth="1"/>
    <col min="3" max="8" width="14.109375" style="1" customWidth="1"/>
    <col min="9" max="9" width="10.88671875" style="102" customWidth="1"/>
    <col min="10" max="14" width="10.88671875" style="102" bestFit="1" customWidth="1"/>
    <col min="15" max="16384" width="10.6640625" style="1"/>
  </cols>
  <sheetData>
    <row r="1" spans="1:14" s="33" customFormat="1" ht="22.5" customHeight="1" thickBot="1"/>
    <row r="2" spans="1:14" ht="18.75" customHeight="1" thickBot="1">
      <c r="B2" s="396" t="s">
        <v>1</v>
      </c>
      <c r="C2" s="567" t="s">
        <v>2</v>
      </c>
      <c r="D2" s="568"/>
      <c r="E2" s="569"/>
      <c r="F2" s="568" t="s">
        <v>3</v>
      </c>
      <c r="G2" s="568"/>
      <c r="H2" s="568"/>
      <c r="I2" s="564" t="s">
        <v>138</v>
      </c>
      <c r="J2" s="565"/>
      <c r="K2" s="565"/>
      <c r="L2" s="564" t="s">
        <v>139</v>
      </c>
      <c r="M2" s="565"/>
      <c r="N2" s="566"/>
    </row>
    <row r="3" spans="1:14" ht="14.1" customHeight="1" thickBot="1">
      <c r="B3" s="28" t="s">
        <v>14</v>
      </c>
      <c r="C3" s="22" t="s">
        <v>132</v>
      </c>
      <c r="D3" s="23" t="s">
        <v>133</v>
      </c>
      <c r="E3" s="24" t="s">
        <v>134</v>
      </c>
      <c r="F3" s="22" t="s">
        <v>132</v>
      </c>
      <c r="G3" s="23" t="s">
        <v>133</v>
      </c>
      <c r="H3" s="24" t="s">
        <v>134</v>
      </c>
      <c r="I3" s="99" t="s">
        <v>135</v>
      </c>
      <c r="J3" s="100" t="s">
        <v>136</v>
      </c>
      <c r="K3" s="100" t="s">
        <v>137</v>
      </c>
      <c r="L3" s="99" t="s">
        <v>135</v>
      </c>
      <c r="M3" s="100" t="s">
        <v>136</v>
      </c>
      <c r="N3" s="100" t="s">
        <v>137</v>
      </c>
    </row>
    <row r="4" spans="1:14" ht="14.1" customHeight="1">
      <c r="A4" s="197" t="s">
        <v>40</v>
      </c>
      <c r="B4" s="195">
        <f t="shared" ref="B4:E4" si="0">AVERAGE(B6:B15)</f>
        <v>57.734999999999999</v>
      </c>
      <c r="C4" s="25" t="e">
        <f>AVERAGE(C6:C15)</f>
        <v>#DIV/0!</v>
      </c>
      <c r="D4" s="26" t="e">
        <f t="shared" si="0"/>
        <v>#DIV/0!</v>
      </c>
      <c r="E4" s="27" t="e">
        <f t="shared" si="0"/>
        <v>#DIV/0!</v>
      </c>
      <c r="F4" s="195" t="e">
        <f t="shared" ref="F4" si="1">AVERAGE(F6:F15)</f>
        <v>#DIV/0!</v>
      </c>
      <c r="G4" s="26" t="e">
        <f t="shared" ref="G4:H4" si="2">AVERAGE(G6:G15)</f>
        <v>#DIV/0!</v>
      </c>
      <c r="H4" s="26" t="e">
        <f t="shared" si="2"/>
        <v>#DIV/0!</v>
      </c>
      <c r="I4" s="145">
        <f t="shared" ref="I4:N4" si="3">AVERAGE(I6:I15)</f>
        <v>-57735</v>
      </c>
      <c r="J4" s="146">
        <f t="shared" si="3"/>
        <v>-57735</v>
      </c>
      <c r="K4" s="146">
        <f t="shared" si="3"/>
        <v>-57735</v>
      </c>
      <c r="L4" s="145">
        <f t="shared" si="3"/>
        <v>-57735</v>
      </c>
      <c r="M4" s="146">
        <f t="shared" si="3"/>
        <v>-57735</v>
      </c>
      <c r="N4" s="147">
        <f t="shared" si="3"/>
        <v>-57735</v>
      </c>
    </row>
    <row r="5" spans="1:14" s="135" customFormat="1" ht="14.1" customHeight="1" thickBot="1">
      <c r="A5" s="198" t="s">
        <v>41</v>
      </c>
      <c r="B5" s="196">
        <f>STDEV(B6:B15)/B4*100</f>
        <v>0</v>
      </c>
      <c r="C5" s="139" t="e">
        <f>STDEV(C6:C15)/B4*100</f>
        <v>#DIV/0!</v>
      </c>
      <c r="D5" s="140" t="e">
        <f>STDEV(D6:D15)/B4*100</f>
        <v>#DIV/0!</v>
      </c>
      <c r="E5" s="412" t="e">
        <f>STDEV(E6:E15)/B4*100</f>
        <v>#DIV/0!</v>
      </c>
      <c r="F5" s="411" t="e">
        <f>STDEV(F6:F15)/B4*100</f>
        <v>#DIV/0!</v>
      </c>
      <c r="G5" s="140" t="e">
        <f>STDEV(G6:G15)/B4*100</f>
        <v>#DIV/0!</v>
      </c>
      <c r="H5" s="140" t="e">
        <f>STDEV(H6:H15)/B4*100</f>
        <v>#DIV/0!</v>
      </c>
      <c r="I5" s="192">
        <f>0.001*100*STDEV(I6:I15)/$B$4</f>
        <v>0</v>
      </c>
      <c r="J5" s="193">
        <f t="shared" ref="J5:K5" si="4">0.001*100*STDEV(J6:J15)/$B$4</f>
        <v>0</v>
      </c>
      <c r="K5" s="193">
        <f t="shared" si="4"/>
        <v>0</v>
      </c>
      <c r="L5" s="192">
        <f>0.001*100*STDEV(L6:L15)/$B$4</f>
        <v>0</v>
      </c>
      <c r="M5" s="193">
        <f t="shared" ref="M5:N5" si="5">0.001*100*STDEV(M6:M15)/$B$4</f>
        <v>0</v>
      </c>
      <c r="N5" s="194">
        <f t="shared" si="5"/>
        <v>0</v>
      </c>
    </row>
    <row r="6" spans="1:14" ht="14.1" customHeight="1">
      <c r="A6" s="560" t="s">
        <v>120</v>
      </c>
      <c r="B6" s="9">
        <v>57.734999999999999</v>
      </c>
      <c r="C6" s="4"/>
      <c r="D6" s="131"/>
      <c r="E6" s="191"/>
      <c r="F6" s="67"/>
      <c r="G6" s="2"/>
      <c r="H6" s="3"/>
      <c r="I6" s="189">
        <f t="shared" ref="I6:I15" si="6">(C6-B6)*1000</f>
        <v>-57735</v>
      </c>
      <c r="J6" s="132">
        <f t="shared" ref="J6:J15" si="7">(D6-B6)*1000</f>
        <v>-57735</v>
      </c>
      <c r="K6" s="132">
        <f t="shared" ref="K6:K15" si="8">(E6-B6)*1000</f>
        <v>-57735</v>
      </c>
      <c r="L6" s="189">
        <f t="shared" ref="L6:L15" si="9">(F6-B6)*1000</f>
        <v>-57735</v>
      </c>
      <c r="M6" s="132">
        <f t="shared" ref="M6:M15" si="10">(G6-B6)*1000</f>
        <v>-57735</v>
      </c>
      <c r="N6" s="191">
        <f t="shared" ref="N6:N15" si="11">(H6-B6)*1000</f>
        <v>-57735</v>
      </c>
    </row>
    <row r="7" spans="1:14" ht="14.1" customHeight="1">
      <c r="A7" s="560"/>
      <c r="B7" s="85">
        <v>57.734999999999999</v>
      </c>
      <c r="C7" s="4"/>
      <c r="D7" s="5"/>
      <c r="E7" s="96"/>
      <c r="F7" s="44"/>
      <c r="G7" s="5"/>
      <c r="H7" s="6"/>
      <c r="I7" s="85">
        <f t="shared" si="6"/>
        <v>-57735</v>
      </c>
      <c r="J7" s="6">
        <f t="shared" si="7"/>
        <v>-57735</v>
      </c>
      <c r="K7" s="6">
        <f t="shared" si="8"/>
        <v>-57735</v>
      </c>
      <c r="L7" s="85">
        <f t="shared" si="9"/>
        <v>-57735</v>
      </c>
      <c r="M7" s="6">
        <f t="shared" si="10"/>
        <v>-57735</v>
      </c>
      <c r="N7" s="96">
        <f t="shared" si="11"/>
        <v>-57735</v>
      </c>
    </row>
    <row r="8" spans="1:14" ht="14.1" customHeight="1">
      <c r="A8" s="560"/>
      <c r="B8" s="85">
        <v>57.734999999999999</v>
      </c>
      <c r="C8" s="4"/>
      <c r="D8" s="5"/>
      <c r="E8" s="96"/>
      <c r="F8" s="44"/>
      <c r="G8" s="5"/>
      <c r="H8" s="6"/>
      <c r="I8" s="85">
        <f t="shared" si="6"/>
        <v>-57735</v>
      </c>
      <c r="J8" s="6">
        <f t="shared" si="7"/>
        <v>-57735</v>
      </c>
      <c r="K8" s="6">
        <f t="shared" si="8"/>
        <v>-57735</v>
      </c>
      <c r="L8" s="85">
        <f t="shared" si="9"/>
        <v>-57735</v>
      </c>
      <c r="M8" s="6">
        <f t="shared" si="10"/>
        <v>-57735</v>
      </c>
      <c r="N8" s="96">
        <f t="shared" si="11"/>
        <v>-57735</v>
      </c>
    </row>
    <row r="9" spans="1:14" ht="14.1" customHeight="1">
      <c r="A9" s="560"/>
      <c r="B9" s="85">
        <v>57.734999999999999</v>
      </c>
      <c r="C9" s="4"/>
      <c r="D9" s="5"/>
      <c r="E9" s="96"/>
      <c r="F9" s="44"/>
      <c r="G9" s="5"/>
      <c r="H9" s="6"/>
      <c r="I9" s="85">
        <f t="shared" si="6"/>
        <v>-57735</v>
      </c>
      <c r="J9" s="6">
        <f t="shared" si="7"/>
        <v>-57735</v>
      </c>
      <c r="K9" s="6">
        <f t="shared" si="8"/>
        <v>-57735</v>
      </c>
      <c r="L9" s="85">
        <f t="shared" si="9"/>
        <v>-57735</v>
      </c>
      <c r="M9" s="6">
        <f t="shared" si="10"/>
        <v>-57735</v>
      </c>
      <c r="N9" s="96">
        <f t="shared" si="11"/>
        <v>-57735</v>
      </c>
    </row>
    <row r="10" spans="1:14" ht="14.1" customHeight="1">
      <c r="A10" s="560"/>
      <c r="B10" s="85">
        <v>57.734999999999999</v>
      </c>
      <c r="C10" s="4"/>
      <c r="D10" s="5"/>
      <c r="E10" s="96"/>
      <c r="F10" s="44"/>
      <c r="G10" s="5"/>
      <c r="H10" s="6"/>
      <c r="I10" s="85">
        <f t="shared" si="6"/>
        <v>-57735</v>
      </c>
      <c r="J10" s="6">
        <f t="shared" si="7"/>
        <v>-57735</v>
      </c>
      <c r="K10" s="6">
        <f t="shared" si="8"/>
        <v>-57735</v>
      </c>
      <c r="L10" s="85">
        <f t="shared" si="9"/>
        <v>-57735</v>
      </c>
      <c r="M10" s="6">
        <f t="shared" si="10"/>
        <v>-57735</v>
      </c>
      <c r="N10" s="96">
        <f t="shared" si="11"/>
        <v>-57735</v>
      </c>
    </row>
    <row r="11" spans="1:14" ht="14.1" customHeight="1">
      <c r="A11" s="560"/>
      <c r="B11" s="85">
        <v>57.734999999999999</v>
      </c>
      <c r="C11" s="4"/>
      <c r="D11" s="5"/>
      <c r="E11" s="96"/>
      <c r="F11" s="44"/>
      <c r="G11" s="5"/>
      <c r="H11" s="6"/>
      <c r="I11" s="85">
        <f t="shared" si="6"/>
        <v>-57735</v>
      </c>
      <c r="J11" s="6">
        <f t="shared" si="7"/>
        <v>-57735</v>
      </c>
      <c r="K11" s="6">
        <f t="shared" si="8"/>
        <v>-57735</v>
      </c>
      <c r="L11" s="85">
        <f t="shared" si="9"/>
        <v>-57735</v>
      </c>
      <c r="M11" s="6">
        <f t="shared" si="10"/>
        <v>-57735</v>
      </c>
      <c r="N11" s="96">
        <f t="shared" si="11"/>
        <v>-57735</v>
      </c>
    </row>
    <row r="12" spans="1:14" ht="14.1" customHeight="1">
      <c r="A12" s="560"/>
      <c r="B12" s="85">
        <v>57.734999999999999</v>
      </c>
      <c r="C12" s="4"/>
      <c r="D12" s="5"/>
      <c r="E12" s="96"/>
      <c r="F12" s="44"/>
      <c r="G12" s="5"/>
      <c r="H12" s="6"/>
      <c r="I12" s="85">
        <f t="shared" si="6"/>
        <v>-57735</v>
      </c>
      <c r="J12" s="6">
        <f t="shared" si="7"/>
        <v>-57735</v>
      </c>
      <c r="K12" s="6">
        <f t="shared" si="8"/>
        <v>-57735</v>
      </c>
      <c r="L12" s="85">
        <f t="shared" si="9"/>
        <v>-57735</v>
      </c>
      <c r="M12" s="6">
        <f t="shared" si="10"/>
        <v>-57735</v>
      </c>
      <c r="N12" s="96">
        <f t="shared" si="11"/>
        <v>-57735</v>
      </c>
    </row>
    <row r="13" spans="1:14" ht="14.1" customHeight="1">
      <c r="A13" s="560"/>
      <c r="B13" s="85">
        <v>57.734999999999999</v>
      </c>
      <c r="C13" s="4"/>
      <c r="D13" s="5"/>
      <c r="E13" s="96"/>
      <c r="F13" s="44"/>
      <c r="G13" s="5"/>
      <c r="H13" s="6"/>
      <c r="I13" s="85">
        <f t="shared" si="6"/>
        <v>-57735</v>
      </c>
      <c r="J13" s="6">
        <f t="shared" si="7"/>
        <v>-57735</v>
      </c>
      <c r="K13" s="6">
        <f t="shared" si="8"/>
        <v>-57735</v>
      </c>
      <c r="L13" s="85">
        <f t="shared" si="9"/>
        <v>-57735</v>
      </c>
      <c r="M13" s="6">
        <f t="shared" si="10"/>
        <v>-57735</v>
      </c>
      <c r="N13" s="96">
        <f t="shared" si="11"/>
        <v>-57735</v>
      </c>
    </row>
    <row r="14" spans="1:14" ht="14.1" customHeight="1">
      <c r="A14" s="560"/>
      <c r="B14" s="85">
        <v>57.734999999999999</v>
      </c>
      <c r="C14" s="4"/>
      <c r="D14" s="5"/>
      <c r="E14" s="96"/>
      <c r="F14" s="44"/>
      <c r="G14" s="5"/>
      <c r="H14" s="6"/>
      <c r="I14" s="85">
        <f t="shared" si="6"/>
        <v>-57735</v>
      </c>
      <c r="J14" s="6">
        <f t="shared" si="7"/>
        <v>-57735</v>
      </c>
      <c r="K14" s="6">
        <f t="shared" si="8"/>
        <v>-57735</v>
      </c>
      <c r="L14" s="85">
        <f t="shared" si="9"/>
        <v>-57735</v>
      </c>
      <c r="M14" s="6">
        <f t="shared" si="10"/>
        <v>-57735</v>
      </c>
      <c r="N14" s="96">
        <f t="shared" si="11"/>
        <v>-57735</v>
      </c>
    </row>
    <row r="15" spans="1:14" ht="14.1" customHeight="1" thickBot="1">
      <c r="A15" s="561"/>
      <c r="B15" s="86">
        <v>57.734999999999999</v>
      </c>
      <c r="C15" s="15"/>
      <c r="D15" s="16"/>
      <c r="E15" s="97"/>
      <c r="F15" s="68"/>
      <c r="G15" s="16"/>
      <c r="H15" s="17"/>
      <c r="I15" s="86">
        <f t="shared" si="6"/>
        <v>-57735</v>
      </c>
      <c r="J15" s="17">
        <f t="shared" si="7"/>
        <v>-57735</v>
      </c>
      <c r="K15" s="17">
        <f t="shared" si="8"/>
        <v>-57735</v>
      </c>
      <c r="L15" s="86">
        <f t="shared" si="9"/>
        <v>-57735</v>
      </c>
      <c r="M15" s="17">
        <f t="shared" si="10"/>
        <v>-57735</v>
      </c>
      <c r="N15" s="97">
        <f t="shared" si="11"/>
        <v>-57735</v>
      </c>
    </row>
    <row r="16" spans="1:14" ht="14.1" customHeight="1">
      <c r="B16" s="28" t="s">
        <v>14</v>
      </c>
      <c r="C16" s="22" t="s">
        <v>132</v>
      </c>
      <c r="D16" s="23" t="s">
        <v>133</v>
      </c>
      <c r="E16" s="24" t="s">
        <v>134</v>
      </c>
      <c r="F16" s="22" t="s">
        <v>132</v>
      </c>
      <c r="G16" s="23" t="s">
        <v>133</v>
      </c>
      <c r="H16" s="24" t="s">
        <v>134</v>
      </c>
      <c r="I16" s="99" t="s">
        <v>135</v>
      </c>
      <c r="J16" s="100" t="s">
        <v>136</v>
      </c>
      <c r="K16" s="100" t="s">
        <v>137</v>
      </c>
      <c r="L16" s="99" t="s">
        <v>135</v>
      </c>
      <c r="M16" s="100" t="s">
        <v>136</v>
      </c>
      <c r="N16" s="100" t="s">
        <v>137</v>
      </c>
    </row>
    <row r="17" spans="1:14" ht="14.1" customHeight="1">
      <c r="B17" s="25">
        <f t="shared" ref="B17" si="12">AVERAGE(B19:B28)</f>
        <v>72.168800000000019</v>
      </c>
      <c r="C17" s="25" t="e">
        <f>AVERAGE(C19:C28)</f>
        <v>#DIV/0!</v>
      </c>
      <c r="D17" s="26" t="e">
        <f t="shared" ref="D17:E17" si="13">AVERAGE(D19:D28)</f>
        <v>#DIV/0!</v>
      </c>
      <c r="E17" s="27" t="e">
        <f t="shared" si="13"/>
        <v>#DIV/0!</v>
      </c>
      <c r="F17" s="195" t="e">
        <f t="shared" ref="F17" si="14">AVERAGE(F19:F28)</f>
        <v>#DIV/0!</v>
      </c>
      <c r="G17" s="26" t="e">
        <f t="shared" ref="G17:H17" si="15">AVERAGE(G19:G28)</f>
        <v>#DIV/0!</v>
      </c>
      <c r="H17" s="26" t="e">
        <f t="shared" si="15"/>
        <v>#DIV/0!</v>
      </c>
      <c r="I17" s="145">
        <f t="shared" ref="I17:K17" si="16">AVERAGE(I19:I28)</f>
        <v>-72168.800000000017</v>
      </c>
      <c r="J17" s="146">
        <f t="shared" si="16"/>
        <v>-72168.800000000017</v>
      </c>
      <c r="K17" s="146">
        <f t="shared" si="16"/>
        <v>-72168.800000000017</v>
      </c>
      <c r="L17" s="145">
        <f t="shared" ref="L17:N17" si="17">AVERAGE(L19:L28)</f>
        <v>-72168.800000000017</v>
      </c>
      <c r="M17" s="146">
        <f t="shared" si="17"/>
        <v>-72168.800000000017</v>
      </c>
      <c r="N17" s="147">
        <f t="shared" si="17"/>
        <v>-72168.800000000017</v>
      </c>
    </row>
    <row r="18" spans="1:14" s="135" customFormat="1" ht="14.1" customHeight="1" thickBot="1">
      <c r="B18" s="136">
        <f>STDEV(B19:B28)/B17*100</f>
        <v>2.0756277134431945E-14</v>
      </c>
      <c r="C18" s="139" t="e">
        <f>STDEV(C19:C28)/B17*100</f>
        <v>#DIV/0!</v>
      </c>
      <c r="D18" s="140" t="e">
        <f>STDEV(D19:D28)/B17*100</f>
        <v>#DIV/0!</v>
      </c>
      <c r="E18" s="412" t="e">
        <f>STDEV(E19:E28)/B17*100</f>
        <v>#DIV/0!</v>
      </c>
      <c r="F18" s="411" t="e">
        <f>STDEV(F19:F28)/B17*100</f>
        <v>#DIV/0!</v>
      </c>
      <c r="G18" s="140" t="e">
        <f>STDEV(G19:G28)/B17*100</f>
        <v>#DIV/0!</v>
      </c>
      <c r="H18" s="140" t="e">
        <f>STDEV(H19:H28)/B17*100</f>
        <v>#DIV/0!</v>
      </c>
      <c r="I18" s="250">
        <f>0.001*100*STDEV(I19:I28)/$B$17</f>
        <v>2.1254427785658312E-14</v>
      </c>
      <c r="J18" s="193">
        <f t="shared" ref="J18:K18" si="18">0.001*100*STDEV(J19:J28)/$B$17</f>
        <v>2.1254427785658312E-14</v>
      </c>
      <c r="K18" s="251">
        <f t="shared" si="18"/>
        <v>2.1254427785658312E-14</v>
      </c>
      <c r="L18" s="250">
        <f>0.001*100*STDEV(L19:L28)/$B$17</f>
        <v>2.1254427785658312E-14</v>
      </c>
      <c r="M18" s="193">
        <f t="shared" ref="M18:N18" si="19">0.001*100*STDEV(M19:M28)/$B$17</f>
        <v>2.1254427785658312E-14</v>
      </c>
      <c r="N18" s="397">
        <f t="shared" si="19"/>
        <v>2.1254427785658312E-14</v>
      </c>
    </row>
    <row r="19" spans="1:14" ht="14.1" customHeight="1">
      <c r="A19" s="570" t="s">
        <v>121</v>
      </c>
      <c r="B19" s="89">
        <v>72.168800000000005</v>
      </c>
      <c r="C19" s="11"/>
      <c r="D19" s="2"/>
      <c r="E19" s="95"/>
      <c r="F19" s="67"/>
      <c r="G19" s="2"/>
      <c r="H19" s="3"/>
      <c r="I19" s="85">
        <f t="shared" ref="I19:I28" si="20">(C19-B19)*1000</f>
        <v>-72168.800000000003</v>
      </c>
      <c r="J19" s="6">
        <f t="shared" ref="J19:J28" si="21">(D19-B19)*1000</f>
        <v>-72168.800000000003</v>
      </c>
      <c r="K19" s="6">
        <f t="shared" ref="K19:K28" si="22">(E19-B19)*1000</f>
        <v>-72168.800000000003</v>
      </c>
      <c r="L19" s="85">
        <f t="shared" ref="L19:L28" si="23">(F19-B19)*1000</f>
        <v>-72168.800000000003</v>
      </c>
      <c r="M19" s="6">
        <f t="shared" ref="M19:M28" si="24">(G19-B19)*1000</f>
        <v>-72168.800000000003</v>
      </c>
      <c r="N19" s="96">
        <f t="shared" ref="N19:N28" si="25">(H19-B19)*1000</f>
        <v>-72168.800000000003</v>
      </c>
    </row>
    <row r="20" spans="1:14" ht="14.1" customHeight="1">
      <c r="A20" s="571"/>
      <c r="B20" s="90">
        <v>72.168800000000005</v>
      </c>
      <c r="C20" s="4"/>
      <c r="D20" s="5"/>
      <c r="E20" s="96"/>
      <c r="F20" s="44"/>
      <c r="G20" s="5"/>
      <c r="H20" s="6"/>
      <c r="I20" s="85">
        <f t="shared" si="20"/>
        <v>-72168.800000000003</v>
      </c>
      <c r="J20" s="6">
        <f t="shared" si="21"/>
        <v>-72168.800000000003</v>
      </c>
      <c r="K20" s="6">
        <f t="shared" si="22"/>
        <v>-72168.800000000003</v>
      </c>
      <c r="L20" s="85">
        <f t="shared" si="23"/>
        <v>-72168.800000000003</v>
      </c>
      <c r="M20" s="6">
        <f t="shared" si="24"/>
        <v>-72168.800000000003</v>
      </c>
      <c r="N20" s="96">
        <f t="shared" si="25"/>
        <v>-72168.800000000003</v>
      </c>
    </row>
    <row r="21" spans="1:14" ht="14.1" customHeight="1">
      <c r="A21" s="571"/>
      <c r="B21" s="90">
        <v>72.168800000000005</v>
      </c>
      <c r="C21" s="4"/>
      <c r="D21" s="5"/>
      <c r="E21" s="96"/>
      <c r="F21" s="44"/>
      <c r="G21" s="5"/>
      <c r="H21" s="6"/>
      <c r="I21" s="85">
        <f t="shared" si="20"/>
        <v>-72168.800000000003</v>
      </c>
      <c r="J21" s="6">
        <f t="shared" si="21"/>
        <v>-72168.800000000003</v>
      </c>
      <c r="K21" s="6">
        <f t="shared" si="22"/>
        <v>-72168.800000000003</v>
      </c>
      <c r="L21" s="85">
        <f t="shared" si="23"/>
        <v>-72168.800000000003</v>
      </c>
      <c r="M21" s="6">
        <f t="shared" si="24"/>
        <v>-72168.800000000003</v>
      </c>
      <c r="N21" s="96">
        <f t="shared" si="25"/>
        <v>-72168.800000000003</v>
      </c>
    </row>
    <row r="22" spans="1:14" ht="14.1" customHeight="1">
      <c r="A22" s="571"/>
      <c r="B22" s="90">
        <v>72.168800000000005</v>
      </c>
      <c r="C22" s="4"/>
      <c r="D22" s="5"/>
      <c r="E22" s="96"/>
      <c r="F22" s="44"/>
      <c r="G22" s="5"/>
      <c r="H22" s="6"/>
      <c r="I22" s="85">
        <f t="shared" si="20"/>
        <v>-72168.800000000003</v>
      </c>
      <c r="J22" s="6">
        <f t="shared" si="21"/>
        <v>-72168.800000000003</v>
      </c>
      <c r="K22" s="6">
        <f t="shared" si="22"/>
        <v>-72168.800000000003</v>
      </c>
      <c r="L22" s="85">
        <f t="shared" si="23"/>
        <v>-72168.800000000003</v>
      </c>
      <c r="M22" s="6">
        <f t="shared" si="24"/>
        <v>-72168.800000000003</v>
      </c>
      <c r="N22" s="96">
        <f t="shared" si="25"/>
        <v>-72168.800000000003</v>
      </c>
    </row>
    <row r="23" spans="1:14" ht="14.1" customHeight="1">
      <c r="A23" s="571"/>
      <c r="B23" s="90">
        <v>72.168800000000005</v>
      </c>
      <c r="C23" s="4"/>
      <c r="D23" s="5"/>
      <c r="E23" s="96"/>
      <c r="F23" s="44"/>
      <c r="G23" s="5"/>
      <c r="H23" s="6"/>
      <c r="I23" s="85">
        <f t="shared" si="20"/>
        <v>-72168.800000000003</v>
      </c>
      <c r="J23" s="6">
        <f t="shared" si="21"/>
        <v>-72168.800000000003</v>
      </c>
      <c r="K23" s="6">
        <f t="shared" si="22"/>
        <v>-72168.800000000003</v>
      </c>
      <c r="L23" s="85">
        <f t="shared" si="23"/>
        <v>-72168.800000000003</v>
      </c>
      <c r="M23" s="6">
        <f t="shared" si="24"/>
        <v>-72168.800000000003</v>
      </c>
      <c r="N23" s="96">
        <f t="shared" si="25"/>
        <v>-72168.800000000003</v>
      </c>
    </row>
    <row r="24" spans="1:14" ht="14.1" customHeight="1">
      <c r="A24" s="571"/>
      <c r="B24" s="90">
        <v>72.168800000000005</v>
      </c>
      <c r="C24" s="337"/>
      <c r="D24" s="8"/>
      <c r="E24" s="14"/>
      <c r="F24" s="338"/>
      <c r="G24" s="8"/>
      <c r="H24" s="8"/>
      <c r="I24" s="85">
        <f t="shared" si="20"/>
        <v>-72168.800000000003</v>
      </c>
      <c r="J24" s="6">
        <f t="shared" si="21"/>
        <v>-72168.800000000003</v>
      </c>
      <c r="K24" s="6">
        <f t="shared" si="22"/>
        <v>-72168.800000000003</v>
      </c>
      <c r="L24" s="85">
        <f t="shared" si="23"/>
        <v>-72168.800000000003</v>
      </c>
      <c r="M24" s="6">
        <f t="shared" si="24"/>
        <v>-72168.800000000003</v>
      </c>
      <c r="N24" s="96">
        <f t="shared" si="25"/>
        <v>-72168.800000000003</v>
      </c>
    </row>
    <row r="25" spans="1:14" ht="14.1" customHeight="1">
      <c r="A25" s="571"/>
      <c r="B25" s="90">
        <v>72.168800000000005</v>
      </c>
      <c r="C25" s="337"/>
      <c r="D25" s="8"/>
      <c r="E25" s="14"/>
      <c r="F25" s="338"/>
      <c r="G25" s="8"/>
      <c r="H25" s="8"/>
      <c r="I25" s="85">
        <f t="shared" si="20"/>
        <v>-72168.800000000003</v>
      </c>
      <c r="J25" s="6">
        <f t="shared" si="21"/>
        <v>-72168.800000000003</v>
      </c>
      <c r="K25" s="6">
        <f t="shared" si="22"/>
        <v>-72168.800000000003</v>
      </c>
      <c r="L25" s="85">
        <f t="shared" si="23"/>
        <v>-72168.800000000003</v>
      </c>
      <c r="M25" s="6">
        <f t="shared" si="24"/>
        <v>-72168.800000000003</v>
      </c>
      <c r="N25" s="96">
        <f t="shared" si="25"/>
        <v>-72168.800000000003</v>
      </c>
    </row>
    <row r="26" spans="1:14" ht="14.1" customHeight="1">
      <c r="A26" s="571"/>
      <c r="B26" s="90">
        <v>72.168800000000005</v>
      </c>
      <c r="C26" s="337"/>
      <c r="D26" s="8"/>
      <c r="E26" s="14"/>
      <c r="F26" s="338"/>
      <c r="G26" s="8"/>
      <c r="H26" s="8"/>
      <c r="I26" s="85">
        <f t="shared" si="20"/>
        <v>-72168.800000000003</v>
      </c>
      <c r="J26" s="6">
        <f t="shared" si="21"/>
        <v>-72168.800000000003</v>
      </c>
      <c r="K26" s="6">
        <f t="shared" si="22"/>
        <v>-72168.800000000003</v>
      </c>
      <c r="L26" s="85">
        <f t="shared" si="23"/>
        <v>-72168.800000000003</v>
      </c>
      <c r="M26" s="6">
        <f t="shared" si="24"/>
        <v>-72168.800000000003</v>
      </c>
      <c r="N26" s="96">
        <f t="shared" si="25"/>
        <v>-72168.800000000003</v>
      </c>
    </row>
    <row r="27" spans="1:14" ht="14.1" customHeight="1">
      <c r="A27" s="571"/>
      <c r="B27" s="90">
        <v>72.168800000000005</v>
      </c>
      <c r="C27" s="337"/>
      <c r="D27" s="8"/>
      <c r="E27" s="14"/>
      <c r="F27" s="338"/>
      <c r="G27" s="8"/>
      <c r="H27" s="8"/>
      <c r="I27" s="85">
        <f t="shared" si="20"/>
        <v>-72168.800000000003</v>
      </c>
      <c r="J27" s="6">
        <f t="shared" si="21"/>
        <v>-72168.800000000003</v>
      </c>
      <c r="K27" s="6">
        <f t="shared" si="22"/>
        <v>-72168.800000000003</v>
      </c>
      <c r="L27" s="85">
        <f t="shared" si="23"/>
        <v>-72168.800000000003</v>
      </c>
      <c r="M27" s="6">
        <f t="shared" si="24"/>
        <v>-72168.800000000003</v>
      </c>
      <c r="N27" s="96">
        <f t="shared" si="25"/>
        <v>-72168.800000000003</v>
      </c>
    </row>
    <row r="28" spans="1:14" ht="14.1" customHeight="1" thickBot="1">
      <c r="A28" s="572"/>
      <c r="B28" s="37">
        <v>72.168800000000005</v>
      </c>
      <c r="C28" s="339"/>
      <c r="D28" s="18"/>
      <c r="E28" s="19"/>
      <c r="F28" s="340"/>
      <c r="G28" s="18"/>
      <c r="H28" s="18"/>
      <c r="I28" s="86">
        <f t="shared" si="20"/>
        <v>-72168.800000000003</v>
      </c>
      <c r="J28" s="17">
        <f t="shared" si="21"/>
        <v>-72168.800000000003</v>
      </c>
      <c r="K28" s="17">
        <f t="shared" si="22"/>
        <v>-72168.800000000003</v>
      </c>
      <c r="L28" s="86">
        <f t="shared" si="23"/>
        <v>-72168.800000000003</v>
      </c>
      <c r="M28" s="17">
        <f t="shared" si="24"/>
        <v>-72168.800000000003</v>
      </c>
      <c r="N28" s="97">
        <f t="shared" si="25"/>
        <v>-72168.800000000003</v>
      </c>
    </row>
  </sheetData>
  <mergeCells count="6">
    <mergeCell ref="L2:N2"/>
    <mergeCell ref="C2:E2"/>
    <mergeCell ref="F2:H2"/>
    <mergeCell ref="A19:A28"/>
    <mergeCell ref="I2:K2"/>
    <mergeCell ref="A6:A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92D050"/>
  </sheetPr>
  <dimension ref="A1:N93"/>
  <sheetViews>
    <sheetView zoomScale="70" zoomScaleNormal="70" workbookViewId="0">
      <selection activeCell="A2" sqref="A2"/>
    </sheetView>
  </sheetViews>
  <sheetFormatPr defaultColWidth="10.6640625" defaultRowHeight="14.1" customHeight="1"/>
  <cols>
    <col min="1" max="1" width="12.88671875" style="1" bestFit="1" customWidth="1"/>
    <col min="2" max="2" width="29.6640625" style="1" bestFit="1" customWidth="1"/>
    <col min="3" max="8" width="14.5546875" style="1" customWidth="1"/>
    <col min="9" max="9" width="10.88671875" style="102" bestFit="1" customWidth="1"/>
    <col min="10" max="14" width="10.6640625" style="102"/>
    <col min="15" max="16384" width="10.6640625" style="1"/>
  </cols>
  <sheetData>
    <row r="1" spans="1:14" s="33" customFormat="1" ht="22.5" customHeight="1" thickBot="1"/>
    <row r="2" spans="1:14" ht="18.75" customHeight="1" thickBot="1">
      <c r="A2" s="206" t="s">
        <v>124</v>
      </c>
      <c r="B2" s="430" t="s">
        <v>1</v>
      </c>
      <c r="C2" s="567" t="s">
        <v>2</v>
      </c>
      <c r="D2" s="568"/>
      <c r="E2" s="569"/>
      <c r="F2" s="567" t="s">
        <v>3</v>
      </c>
      <c r="G2" s="568"/>
      <c r="H2" s="568"/>
      <c r="I2" s="576" t="s">
        <v>138</v>
      </c>
      <c r="J2" s="577"/>
      <c r="K2" s="578"/>
      <c r="L2" s="576" t="s">
        <v>139</v>
      </c>
      <c r="M2" s="577"/>
      <c r="N2" s="578"/>
    </row>
    <row r="3" spans="1:14" ht="14.1" customHeight="1" thickBot="1">
      <c r="B3" s="431" t="s">
        <v>143</v>
      </c>
      <c r="C3" s="22" t="s">
        <v>144</v>
      </c>
      <c r="D3" s="23" t="s">
        <v>145</v>
      </c>
      <c r="E3" s="24" t="s">
        <v>146</v>
      </c>
      <c r="F3" s="22" t="s">
        <v>144</v>
      </c>
      <c r="G3" s="23" t="s">
        <v>145</v>
      </c>
      <c r="H3" s="187" t="s">
        <v>146</v>
      </c>
      <c r="I3" s="99" t="s">
        <v>140</v>
      </c>
      <c r="J3" s="100" t="s">
        <v>141</v>
      </c>
      <c r="K3" s="101" t="s">
        <v>142</v>
      </c>
      <c r="L3" s="99" t="s">
        <v>140</v>
      </c>
      <c r="M3" s="100" t="s">
        <v>141</v>
      </c>
      <c r="N3" s="101" t="s">
        <v>142</v>
      </c>
    </row>
    <row r="4" spans="1:14" ht="14.1" customHeight="1">
      <c r="A4" s="413" t="s">
        <v>40</v>
      </c>
      <c r="B4" s="106">
        <f t="shared" ref="B4:N4" si="0">AVERAGE(B6:B15)</f>
        <v>5</v>
      </c>
      <c r="C4" s="25" t="e">
        <f t="shared" si="0"/>
        <v>#DIV/0!</v>
      </c>
      <c r="D4" s="26" t="e">
        <f t="shared" si="0"/>
        <v>#DIV/0!</v>
      </c>
      <c r="E4" s="27" t="e">
        <f t="shared" si="0"/>
        <v>#DIV/0!</v>
      </c>
      <c r="F4" s="25" t="e">
        <f t="shared" si="0"/>
        <v>#DIV/0!</v>
      </c>
      <c r="G4" s="26" t="e">
        <f t="shared" si="0"/>
        <v>#DIV/0!</v>
      </c>
      <c r="H4" s="32" t="e">
        <f t="shared" si="0"/>
        <v>#DIV/0!</v>
      </c>
      <c r="I4" s="145">
        <f t="shared" si="0"/>
        <v>-5000</v>
      </c>
      <c r="J4" s="146">
        <f t="shared" si="0"/>
        <v>-5000</v>
      </c>
      <c r="K4" s="147">
        <f t="shared" si="0"/>
        <v>-5000</v>
      </c>
      <c r="L4" s="145">
        <f>AVERAGE(L6:L15)</f>
        <v>-5000</v>
      </c>
      <c r="M4" s="146">
        <f t="shared" si="0"/>
        <v>-5000</v>
      </c>
      <c r="N4" s="147">
        <f t="shared" si="0"/>
        <v>-5000</v>
      </c>
    </row>
    <row r="5" spans="1:14" s="135" customFormat="1" ht="14.1" customHeight="1" thickBot="1">
      <c r="A5" s="414" t="s">
        <v>41</v>
      </c>
      <c r="B5" s="432">
        <f>STDEV(B6:B15)/B4*100</f>
        <v>0</v>
      </c>
      <c r="C5" s="139" t="e">
        <f>STDEV(C6:C15)/B4*100</f>
        <v>#DIV/0!</v>
      </c>
      <c r="D5" s="140" t="e">
        <f>STDEV(D6:D15)/B4*100</f>
        <v>#DIV/0!</v>
      </c>
      <c r="E5" s="412" t="e">
        <f>STDEV(E6:E15)/B4*100</f>
        <v>#DIV/0!</v>
      </c>
      <c r="F5" s="139" t="e">
        <f>STDEV(F6:F15)/B4*100</f>
        <v>#DIV/0!</v>
      </c>
      <c r="G5" s="140" t="e">
        <f>STDEV(G6:G15)/B4*100</f>
        <v>#DIV/0!</v>
      </c>
      <c r="H5" s="398" t="e">
        <f>STDEV(H6:H15)/B4*100</f>
        <v>#DIV/0!</v>
      </c>
      <c r="I5" s="192">
        <f>0.001*100*STDEV(I6:I15)/$B$4</f>
        <v>0</v>
      </c>
      <c r="J5" s="193">
        <f t="shared" ref="J5:K5" si="1">0.001*100*STDEV(J6:J15)/$B$4</f>
        <v>0</v>
      </c>
      <c r="K5" s="194">
        <f t="shared" si="1"/>
        <v>0</v>
      </c>
      <c r="L5" s="192">
        <f>0.001*100*STDEV(L6:L15)/$B$4</f>
        <v>0</v>
      </c>
      <c r="M5" s="193">
        <f t="shared" ref="M5:N5" si="2">0.001*100*STDEV(M6:M15)/$B$4</f>
        <v>0</v>
      </c>
      <c r="N5" s="194">
        <f t="shared" si="2"/>
        <v>0</v>
      </c>
    </row>
    <row r="6" spans="1:14" ht="14.1" customHeight="1">
      <c r="A6" s="559" t="s">
        <v>130</v>
      </c>
      <c r="B6" s="364">
        <v>5</v>
      </c>
      <c r="C6" s="4"/>
      <c r="D6" s="133"/>
      <c r="E6" s="134"/>
      <c r="F6" s="9"/>
      <c r="G6" s="12"/>
      <c r="H6" s="91"/>
      <c r="I6" s="189">
        <f t="shared" ref="I6:I15" si="3">(C6-B6)*1000</f>
        <v>-5000</v>
      </c>
      <c r="J6" s="132">
        <f t="shared" ref="J6:J15" si="4">(D6-B6)*1000</f>
        <v>-5000</v>
      </c>
      <c r="K6" s="191">
        <f t="shared" ref="K6:K15" si="5">(E6-B6)*1000</f>
        <v>-5000</v>
      </c>
      <c r="L6" s="189">
        <f t="shared" ref="L6:L15" si="6">(F6-B6)*1000</f>
        <v>-5000</v>
      </c>
      <c r="M6" s="132">
        <f t="shared" ref="M6:M15" si="7">(G6-B6)*1000</f>
        <v>-5000</v>
      </c>
      <c r="N6" s="191">
        <f t="shared" ref="N6:N15" si="8">(H6-B6)*1000</f>
        <v>-5000</v>
      </c>
    </row>
    <row r="7" spans="1:14" ht="14.1" customHeight="1">
      <c r="A7" s="560"/>
      <c r="B7" s="365">
        <v>5</v>
      </c>
      <c r="C7" s="4"/>
      <c r="D7" s="8"/>
      <c r="E7" s="14"/>
      <c r="F7" s="4"/>
      <c r="G7" s="8"/>
      <c r="H7" s="92"/>
      <c r="I7" s="85">
        <f t="shared" si="3"/>
        <v>-5000</v>
      </c>
      <c r="J7" s="6">
        <f t="shared" si="4"/>
        <v>-5000</v>
      </c>
      <c r="K7" s="96">
        <f t="shared" si="5"/>
        <v>-5000</v>
      </c>
      <c r="L7" s="85">
        <f t="shared" si="6"/>
        <v>-5000</v>
      </c>
      <c r="M7" s="6">
        <f t="shared" si="7"/>
        <v>-5000</v>
      </c>
      <c r="N7" s="96">
        <f t="shared" si="8"/>
        <v>-5000</v>
      </c>
    </row>
    <row r="8" spans="1:14" ht="14.1" customHeight="1">
      <c r="A8" s="560"/>
      <c r="B8" s="365">
        <v>5</v>
      </c>
      <c r="C8" s="4"/>
      <c r="D8" s="8"/>
      <c r="E8" s="14"/>
      <c r="F8" s="4"/>
      <c r="G8" s="8"/>
      <c r="H8" s="92"/>
      <c r="I8" s="85">
        <f t="shared" si="3"/>
        <v>-5000</v>
      </c>
      <c r="J8" s="6">
        <f t="shared" si="4"/>
        <v>-5000</v>
      </c>
      <c r="K8" s="96">
        <f t="shared" si="5"/>
        <v>-5000</v>
      </c>
      <c r="L8" s="85">
        <f t="shared" si="6"/>
        <v>-5000</v>
      </c>
      <c r="M8" s="6">
        <f t="shared" si="7"/>
        <v>-5000</v>
      </c>
      <c r="N8" s="96">
        <f t="shared" si="8"/>
        <v>-5000</v>
      </c>
    </row>
    <row r="9" spans="1:14" ht="14.1" customHeight="1">
      <c r="A9" s="560"/>
      <c r="B9" s="365">
        <v>5</v>
      </c>
      <c r="C9" s="4"/>
      <c r="D9" s="8"/>
      <c r="E9" s="14"/>
      <c r="F9" s="4"/>
      <c r="G9" s="8"/>
      <c r="H9" s="92"/>
      <c r="I9" s="85">
        <f t="shared" si="3"/>
        <v>-5000</v>
      </c>
      <c r="J9" s="6">
        <f t="shared" si="4"/>
        <v>-5000</v>
      </c>
      <c r="K9" s="96">
        <f t="shared" si="5"/>
        <v>-5000</v>
      </c>
      <c r="L9" s="85">
        <f t="shared" si="6"/>
        <v>-5000</v>
      </c>
      <c r="M9" s="6">
        <f t="shared" si="7"/>
        <v>-5000</v>
      </c>
      <c r="N9" s="96">
        <f t="shared" si="8"/>
        <v>-5000</v>
      </c>
    </row>
    <row r="10" spans="1:14" ht="14.1" customHeight="1">
      <c r="A10" s="560"/>
      <c r="B10" s="365">
        <v>5</v>
      </c>
      <c r="C10" s="4"/>
      <c r="D10" s="8"/>
      <c r="E10" s="14"/>
      <c r="F10" s="4"/>
      <c r="G10" s="8"/>
      <c r="H10" s="92"/>
      <c r="I10" s="85">
        <f t="shared" si="3"/>
        <v>-5000</v>
      </c>
      <c r="J10" s="6">
        <f t="shared" si="4"/>
        <v>-5000</v>
      </c>
      <c r="K10" s="96">
        <f t="shared" si="5"/>
        <v>-5000</v>
      </c>
      <c r="L10" s="85">
        <f t="shared" si="6"/>
        <v>-5000</v>
      </c>
      <c r="M10" s="6">
        <f t="shared" si="7"/>
        <v>-5000</v>
      </c>
      <c r="N10" s="96">
        <f t="shared" si="8"/>
        <v>-5000</v>
      </c>
    </row>
    <row r="11" spans="1:14" ht="14.1" customHeight="1">
      <c r="A11" s="560"/>
      <c r="B11" s="365">
        <v>5</v>
      </c>
      <c r="C11" s="85"/>
      <c r="D11" s="8"/>
      <c r="E11" s="14"/>
      <c r="F11" s="85"/>
      <c r="G11" s="8"/>
      <c r="H11" s="92"/>
      <c r="I11" s="85">
        <f t="shared" si="3"/>
        <v>-5000</v>
      </c>
      <c r="J11" s="6">
        <f t="shared" si="4"/>
        <v>-5000</v>
      </c>
      <c r="K11" s="96">
        <f t="shared" si="5"/>
        <v>-5000</v>
      </c>
      <c r="L11" s="85">
        <f t="shared" si="6"/>
        <v>-5000</v>
      </c>
      <c r="M11" s="6">
        <f t="shared" si="7"/>
        <v>-5000</v>
      </c>
      <c r="N11" s="96">
        <f t="shared" si="8"/>
        <v>-5000</v>
      </c>
    </row>
    <row r="12" spans="1:14" ht="14.1" customHeight="1">
      <c r="A12" s="560"/>
      <c r="B12" s="365">
        <v>5</v>
      </c>
      <c r="C12" s="4"/>
      <c r="D12" s="8"/>
      <c r="E12" s="14"/>
      <c r="F12" s="4"/>
      <c r="G12" s="8"/>
      <c r="H12" s="92"/>
      <c r="I12" s="85">
        <f t="shared" si="3"/>
        <v>-5000</v>
      </c>
      <c r="J12" s="6">
        <f t="shared" si="4"/>
        <v>-5000</v>
      </c>
      <c r="K12" s="96">
        <f t="shared" si="5"/>
        <v>-5000</v>
      </c>
      <c r="L12" s="85">
        <f t="shared" si="6"/>
        <v>-5000</v>
      </c>
      <c r="M12" s="6">
        <f t="shared" si="7"/>
        <v>-5000</v>
      </c>
      <c r="N12" s="96">
        <f t="shared" si="8"/>
        <v>-5000</v>
      </c>
    </row>
    <row r="13" spans="1:14" ht="14.1" customHeight="1">
      <c r="A13" s="560"/>
      <c r="B13" s="365">
        <v>5</v>
      </c>
      <c r="C13" s="4"/>
      <c r="D13" s="8"/>
      <c r="E13" s="14"/>
      <c r="F13" s="4"/>
      <c r="G13" s="8"/>
      <c r="H13" s="92"/>
      <c r="I13" s="85">
        <f t="shared" si="3"/>
        <v>-5000</v>
      </c>
      <c r="J13" s="6">
        <f t="shared" si="4"/>
        <v>-5000</v>
      </c>
      <c r="K13" s="96">
        <f t="shared" si="5"/>
        <v>-5000</v>
      </c>
      <c r="L13" s="85">
        <f t="shared" si="6"/>
        <v>-5000</v>
      </c>
      <c r="M13" s="6">
        <f t="shared" si="7"/>
        <v>-5000</v>
      </c>
      <c r="N13" s="96">
        <f t="shared" si="8"/>
        <v>-5000</v>
      </c>
    </row>
    <row r="14" spans="1:14" ht="14.1" customHeight="1">
      <c r="A14" s="560"/>
      <c r="B14" s="365">
        <v>5</v>
      </c>
      <c r="C14" s="4"/>
      <c r="D14" s="8"/>
      <c r="E14" s="14"/>
      <c r="F14" s="4"/>
      <c r="G14" s="8"/>
      <c r="H14" s="92"/>
      <c r="I14" s="85">
        <f t="shared" si="3"/>
        <v>-5000</v>
      </c>
      <c r="J14" s="6">
        <f t="shared" si="4"/>
        <v>-5000</v>
      </c>
      <c r="K14" s="96">
        <f t="shared" si="5"/>
        <v>-5000</v>
      </c>
      <c r="L14" s="85">
        <f t="shared" si="6"/>
        <v>-5000</v>
      </c>
      <c r="M14" s="6">
        <f t="shared" si="7"/>
        <v>-5000</v>
      </c>
      <c r="N14" s="96">
        <f t="shared" si="8"/>
        <v>-5000</v>
      </c>
    </row>
    <row r="15" spans="1:14" ht="14.1" customHeight="1" thickBot="1">
      <c r="A15" s="561"/>
      <c r="B15" s="367">
        <v>5</v>
      </c>
      <c r="C15" s="15"/>
      <c r="D15" s="18"/>
      <c r="E15" s="19"/>
      <c r="F15" s="15"/>
      <c r="G15" s="18"/>
      <c r="H15" s="93"/>
      <c r="I15" s="86">
        <f t="shared" si="3"/>
        <v>-5000</v>
      </c>
      <c r="J15" s="17">
        <f t="shared" si="4"/>
        <v>-5000</v>
      </c>
      <c r="K15" s="97">
        <f t="shared" si="5"/>
        <v>-5000</v>
      </c>
      <c r="L15" s="86">
        <f t="shared" si="6"/>
        <v>-5000</v>
      </c>
      <c r="M15" s="17">
        <f t="shared" si="7"/>
        <v>-5000</v>
      </c>
      <c r="N15" s="97">
        <f t="shared" si="8"/>
        <v>-5000</v>
      </c>
    </row>
    <row r="16" spans="1:14" ht="14.1" customHeight="1">
      <c r="B16" s="431" t="s">
        <v>143</v>
      </c>
      <c r="C16" s="22" t="s">
        <v>144</v>
      </c>
      <c r="D16" s="23" t="s">
        <v>145</v>
      </c>
      <c r="E16" s="24" t="s">
        <v>146</v>
      </c>
      <c r="F16" s="22" t="s">
        <v>144</v>
      </c>
      <c r="G16" s="23" t="s">
        <v>145</v>
      </c>
      <c r="H16" s="187" t="s">
        <v>146</v>
      </c>
      <c r="I16" s="99" t="s">
        <v>140</v>
      </c>
      <c r="J16" s="100" t="s">
        <v>141</v>
      </c>
      <c r="K16" s="101" t="s">
        <v>142</v>
      </c>
      <c r="L16" s="99" t="s">
        <v>140</v>
      </c>
      <c r="M16" s="100" t="s">
        <v>141</v>
      </c>
      <c r="N16" s="101" t="s">
        <v>142</v>
      </c>
    </row>
    <row r="17" spans="1:14" ht="14.1" customHeight="1">
      <c r="B17" s="106">
        <f t="shared" ref="B17" si="9">AVERAGE(B19:B28)</f>
        <v>2.5</v>
      </c>
      <c r="C17" s="25" t="e">
        <f t="shared" ref="C17:K17" si="10">AVERAGE(C19:C28)</f>
        <v>#DIV/0!</v>
      </c>
      <c r="D17" s="26" t="e">
        <f t="shared" si="10"/>
        <v>#DIV/0!</v>
      </c>
      <c r="E17" s="27" t="e">
        <f t="shared" si="10"/>
        <v>#DIV/0!</v>
      </c>
      <c r="F17" s="25" t="e">
        <f t="shared" si="10"/>
        <v>#DIV/0!</v>
      </c>
      <c r="G17" s="26" t="e">
        <f t="shared" si="10"/>
        <v>#DIV/0!</v>
      </c>
      <c r="H17" s="32" t="e">
        <f t="shared" si="10"/>
        <v>#DIV/0!</v>
      </c>
      <c r="I17" s="145">
        <f t="shared" si="10"/>
        <v>-2500</v>
      </c>
      <c r="J17" s="146">
        <f t="shared" si="10"/>
        <v>-2500</v>
      </c>
      <c r="K17" s="147">
        <f t="shared" si="10"/>
        <v>-2500</v>
      </c>
      <c r="L17" s="145">
        <f>AVERAGE(L19:L28)</f>
        <v>-2500</v>
      </c>
      <c r="M17" s="146">
        <f t="shared" ref="M17:N17" si="11">AVERAGE(M19:M28)</f>
        <v>-2500</v>
      </c>
      <c r="N17" s="147">
        <f t="shared" si="11"/>
        <v>-2500</v>
      </c>
    </row>
    <row r="18" spans="1:14" s="135" customFormat="1" ht="14.1" customHeight="1" thickBot="1">
      <c r="B18" s="432">
        <f>STDEV(B19:B28)/B17*100</f>
        <v>0</v>
      </c>
      <c r="C18" s="139" t="e">
        <f>STDEV(C19:C28)/B17*100</f>
        <v>#DIV/0!</v>
      </c>
      <c r="D18" s="140" t="e">
        <f>STDEV(D19:D28)/B17*100</f>
        <v>#DIV/0!</v>
      </c>
      <c r="E18" s="412" t="e">
        <f>STDEV(E19:E28)/B17*100</f>
        <v>#DIV/0!</v>
      </c>
      <c r="F18" s="139" t="e">
        <f>STDEV(F19:F28)/B17*100</f>
        <v>#DIV/0!</v>
      </c>
      <c r="G18" s="140" t="e">
        <f>STDEV(G19:G28)/B17*100</f>
        <v>#DIV/0!</v>
      </c>
      <c r="H18" s="398" t="e">
        <f>STDEV(H19:H28)/B17*100</f>
        <v>#DIV/0!</v>
      </c>
      <c r="I18" s="192">
        <f>0.001*100*STDEV(I19:I28)/$B$17</f>
        <v>0</v>
      </c>
      <c r="J18" s="193">
        <f t="shared" ref="J18:K18" si="12">0.001*100*STDEV(J19:J28)/$B$17</f>
        <v>0</v>
      </c>
      <c r="K18" s="194">
        <f t="shared" si="12"/>
        <v>0</v>
      </c>
      <c r="L18" s="192">
        <f>0.001*100*STDEV(L19:L28)/$B$17</f>
        <v>0</v>
      </c>
      <c r="M18" s="193">
        <f t="shared" ref="M18:N18" si="13">0.001*100*STDEV(M19:M28)/$B$17</f>
        <v>0</v>
      </c>
      <c r="N18" s="194">
        <f t="shared" si="13"/>
        <v>0</v>
      </c>
    </row>
    <row r="19" spans="1:14" ht="14.1" customHeight="1">
      <c r="A19" s="559" t="s">
        <v>125</v>
      </c>
      <c r="B19" s="433">
        <v>2.5</v>
      </c>
      <c r="C19" s="9"/>
      <c r="D19" s="12"/>
      <c r="E19" s="13"/>
      <c r="F19" s="9"/>
      <c r="G19" s="12"/>
      <c r="H19" s="91"/>
      <c r="I19" s="189">
        <f t="shared" ref="I19:I28" si="14">(C19-B19)*1000</f>
        <v>-2500</v>
      </c>
      <c r="J19" s="132">
        <f t="shared" ref="J19:J28" si="15">(D19-B19)*1000</f>
        <v>-2500</v>
      </c>
      <c r="K19" s="191">
        <f t="shared" ref="K19:K28" si="16">(E19-B19)*1000</f>
        <v>-2500</v>
      </c>
      <c r="L19" s="189">
        <f t="shared" ref="L19:L28" si="17">(F19-B19)*1000</f>
        <v>-2500</v>
      </c>
      <c r="M19" s="132">
        <f t="shared" ref="M19:M28" si="18">(G19-B19)*1000</f>
        <v>-2500</v>
      </c>
      <c r="N19" s="191">
        <f t="shared" ref="N19:N28" si="19">(H19-B19)*1000</f>
        <v>-2500</v>
      </c>
    </row>
    <row r="20" spans="1:14" ht="14.1" customHeight="1">
      <c r="A20" s="560"/>
      <c r="B20" s="434">
        <v>2.5</v>
      </c>
      <c r="C20" s="4"/>
      <c r="D20" s="8"/>
      <c r="E20" s="14"/>
      <c r="F20" s="4"/>
      <c r="G20" s="8"/>
      <c r="H20" s="92"/>
      <c r="I20" s="85">
        <f t="shared" si="14"/>
        <v>-2500</v>
      </c>
      <c r="J20" s="6">
        <f t="shared" si="15"/>
        <v>-2500</v>
      </c>
      <c r="K20" s="96">
        <f t="shared" si="16"/>
        <v>-2500</v>
      </c>
      <c r="L20" s="85">
        <f t="shared" si="17"/>
        <v>-2500</v>
      </c>
      <c r="M20" s="6">
        <f t="shared" si="18"/>
        <v>-2500</v>
      </c>
      <c r="N20" s="96">
        <f t="shared" si="19"/>
        <v>-2500</v>
      </c>
    </row>
    <row r="21" spans="1:14" ht="14.1" customHeight="1">
      <c r="A21" s="560"/>
      <c r="B21" s="434">
        <v>2.5</v>
      </c>
      <c r="C21" s="4"/>
      <c r="D21" s="8"/>
      <c r="E21" s="14"/>
      <c r="F21" s="4"/>
      <c r="G21" s="8"/>
      <c r="H21" s="92"/>
      <c r="I21" s="85">
        <f t="shared" si="14"/>
        <v>-2500</v>
      </c>
      <c r="J21" s="6">
        <f t="shared" si="15"/>
        <v>-2500</v>
      </c>
      <c r="K21" s="96">
        <f t="shared" si="16"/>
        <v>-2500</v>
      </c>
      <c r="L21" s="85">
        <f t="shared" si="17"/>
        <v>-2500</v>
      </c>
      <c r="M21" s="6">
        <f t="shared" si="18"/>
        <v>-2500</v>
      </c>
      <c r="N21" s="96">
        <f t="shared" si="19"/>
        <v>-2500</v>
      </c>
    </row>
    <row r="22" spans="1:14" ht="14.1" customHeight="1">
      <c r="A22" s="560"/>
      <c r="B22" s="434">
        <v>2.5</v>
      </c>
      <c r="C22" s="4"/>
      <c r="D22" s="8"/>
      <c r="E22" s="14"/>
      <c r="F22" s="4"/>
      <c r="G22" s="8"/>
      <c r="H22" s="92"/>
      <c r="I22" s="85">
        <f t="shared" si="14"/>
        <v>-2500</v>
      </c>
      <c r="J22" s="6">
        <f t="shared" si="15"/>
        <v>-2500</v>
      </c>
      <c r="K22" s="96">
        <f t="shared" si="16"/>
        <v>-2500</v>
      </c>
      <c r="L22" s="85">
        <f t="shared" si="17"/>
        <v>-2500</v>
      </c>
      <c r="M22" s="6">
        <f t="shared" si="18"/>
        <v>-2500</v>
      </c>
      <c r="N22" s="96">
        <f t="shared" si="19"/>
        <v>-2500</v>
      </c>
    </row>
    <row r="23" spans="1:14" ht="14.1" customHeight="1">
      <c r="A23" s="560"/>
      <c r="B23" s="434">
        <v>2.5</v>
      </c>
      <c r="C23" s="4"/>
      <c r="D23" s="8"/>
      <c r="E23" s="14"/>
      <c r="F23" s="4"/>
      <c r="G23" s="8"/>
      <c r="H23" s="92"/>
      <c r="I23" s="85">
        <f t="shared" si="14"/>
        <v>-2500</v>
      </c>
      <c r="J23" s="6">
        <f t="shared" si="15"/>
        <v>-2500</v>
      </c>
      <c r="K23" s="96">
        <f t="shared" si="16"/>
        <v>-2500</v>
      </c>
      <c r="L23" s="85">
        <f t="shared" si="17"/>
        <v>-2500</v>
      </c>
      <c r="M23" s="6">
        <f t="shared" si="18"/>
        <v>-2500</v>
      </c>
      <c r="N23" s="96">
        <f t="shared" si="19"/>
        <v>-2500</v>
      </c>
    </row>
    <row r="24" spans="1:14" ht="14.1" customHeight="1">
      <c r="A24" s="560"/>
      <c r="B24" s="434">
        <v>2.5</v>
      </c>
      <c r="C24" s="4"/>
      <c r="D24" s="8"/>
      <c r="E24" s="14"/>
      <c r="F24" s="4"/>
      <c r="G24" s="8"/>
      <c r="H24" s="92"/>
      <c r="I24" s="85">
        <f t="shared" si="14"/>
        <v>-2500</v>
      </c>
      <c r="J24" s="6">
        <f t="shared" si="15"/>
        <v>-2500</v>
      </c>
      <c r="K24" s="96">
        <f t="shared" si="16"/>
        <v>-2500</v>
      </c>
      <c r="L24" s="85">
        <f t="shared" si="17"/>
        <v>-2500</v>
      </c>
      <c r="M24" s="6">
        <f t="shared" si="18"/>
        <v>-2500</v>
      </c>
      <c r="N24" s="96">
        <f t="shared" si="19"/>
        <v>-2500</v>
      </c>
    </row>
    <row r="25" spans="1:14" ht="14.1" customHeight="1">
      <c r="A25" s="560"/>
      <c r="B25" s="434">
        <v>2.5</v>
      </c>
      <c r="C25" s="4"/>
      <c r="D25" s="8"/>
      <c r="E25" s="14"/>
      <c r="F25" s="4"/>
      <c r="G25" s="8"/>
      <c r="H25" s="92"/>
      <c r="I25" s="85">
        <f t="shared" si="14"/>
        <v>-2500</v>
      </c>
      <c r="J25" s="6">
        <f t="shared" si="15"/>
        <v>-2500</v>
      </c>
      <c r="K25" s="96">
        <f t="shared" si="16"/>
        <v>-2500</v>
      </c>
      <c r="L25" s="85">
        <f t="shared" si="17"/>
        <v>-2500</v>
      </c>
      <c r="M25" s="6">
        <f t="shared" si="18"/>
        <v>-2500</v>
      </c>
      <c r="N25" s="96">
        <f t="shared" si="19"/>
        <v>-2500</v>
      </c>
    </row>
    <row r="26" spans="1:14" ht="14.1" customHeight="1">
      <c r="A26" s="560"/>
      <c r="B26" s="434">
        <v>2.5</v>
      </c>
      <c r="C26" s="4"/>
      <c r="D26" s="8"/>
      <c r="E26" s="14"/>
      <c r="F26" s="4"/>
      <c r="G26" s="8"/>
      <c r="H26" s="92"/>
      <c r="I26" s="85">
        <f t="shared" si="14"/>
        <v>-2500</v>
      </c>
      <c r="J26" s="6">
        <f t="shared" si="15"/>
        <v>-2500</v>
      </c>
      <c r="K26" s="96">
        <f t="shared" si="16"/>
        <v>-2500</v>
      </c>
      <c r="L26" s="85">
        <f t="shared" si="17"/>
        <v>-2500</v>
      </c>
      <c r="M26" s="6">
        <f t="shared" si="18"/>
        <v>-2500</v>
      </c>
      <c r="N26" s="96">
        <f t="shared" si="19"/>
        <v>-2500</v>
      </c>
    </row>
    <row r="27" spans="1:14" ht="14.1" customHeight="1">
      <c r="A27" s="560"/>
      <c r="B27" s="434">
        <v>2.5</v>
      </c>
      <c r="C27" s="4"/>
      <c r="D27" s="8"/>
      <c r="E27" s="14"/>
      <c r="F27" s="4"/>
      <c r="G27" s="8"/>
      <c r="H27" s="92"/>
      <c r="I27" s="85">
        <f t="shared" si="14"/>
        <v>-2500</v>
      </c>
      <c r="J27" s="6">
        <f t="shared" si="15"/>
        <v>-2500</v>
      </c>
      <c r="K27" s="96">
        <f t="shared" si="16"/>
        <v>-2500</v>
      </c>
      <c r="L27" s="85">
        <f t="shared" si="17"/>
        <v>-2500</v>
      </c>
      <c r="M27" s="6">
        <f t="shared" si="18"/>
        <v>-2500</v>
      </c>
      <c r="N27" s="96">
        <f t="shared" si="19"/>
        <v>-2500</v>
      </c>
    </row>
    <row r="28" spans="1:14" ht="14.1" customHeight="1" thickBot="1">
      <c r="A28" s="561"/>
      <c r="B28" s="435">
        <v>2.5</v>
      </c>
      <c r="C28" s="15"/>
      <c r="D28" s="18"/>
      <c r="E28" s="19"/>
      <c r="F28" s="15"/>
      <c r="G28" s="18"/>
      <c r="H28" s="93"/>
      <c r="I28" s="86">
        <f t="shared" si="14"/>
        <v>-2500</v>
      </c>
      <c r="J28" s="17">
        <f t="shared" si="15"/>
        <v>-2500</v>
      </c>
      <c r="K28" s="97">
        <f t="shared" si="16"/>
        <v>-2500</v>
      </c>
      <c r="L28" s="86">
        <f t="shared" si="17"/>
        <v>-2500</v>
      </c>
      <c r="M28" s="17">
        <f t="shared" si="18"/>
        <v>-2500</v>
      </c>
      <c r="N28" s="97">
        <f t="shared" si="19"/>
        <v>-2500</v>
      </c>
    </row>
    <row r="29" spans="1:14" ht="14.1" customHeight="1">
      <c r="B29" s="431" t="s">
        <v>143</v>
      </c>
      <c r="C29" s="22" t="s">
        <v>144</v>
      </c>
      <c r="D29" s="23" t="s">
        <v>145</v>
      </c>
      <c r="E29" s="24" t="s">
        <v>146</v>
      </c>
      <c r="F29" s="22" t="s">
        <v>144</v>
      </c>
      <c r="G29" s="23" t="s">
        <v>145</v>
      </c>
      <c r="H29" s="187" t="s">
        <v>146</v>
      </c>
      <c r="I29" s="99" t="s">
        <v>140</v>
      </c>
      <c r="J29" s="100" t="s">
        <v>141</v>
      </c>
      <c r="K29" s="101" t="s">
        <v>142</v>
      </c>
      <c r="L29" s="99" t="s">
        <v>140</v>
      </c>
      <c r="M29" s="100" t="s">
        <v>141</v>
      </c>
      <c r="N29" s="101" t="s">
        <v>142</v>
      </c>
    </row>
    <row r="30" spans="1:14" ht="14.1" customHeight="1">
      <c r="B30" s="106">
        <f t="shared" ref="B30" si="20">AVERAGE(B32:B41)</f>
        <v>1</v>
      </c>
      <c r="C30" s="25" t="e">
        <f t="shared" ref="C30:K30" si="21">AVERAGE(C32:C41)</f>
        <v>#DIV/0!</v>
      </c>
      <c r="D30" s="26" t="e">
        <f t="shared" si="21"/>
        <v>#DIV/0!</v>
      </c>
      <c r="E30" s="27" t="e">
        <f t="shared" si="21"/>
        <v>#DIV/0!</v>
      </c>
      <c r="F30" s="25" t="e">
        <f t="shared" si="21"/>
        <v>#DIV/0!</v>
      </c>
      <c r="G30" s="26" t="e">
        <f t="shared" si="21"/>
        <v>#DIV/0!</v>
      </c>
      <c r="H30" s="32" t="e">
        <f t="shared" si="21"/>
        <v>#DIV/0!</v>
      </c>
      <c r="I30" s="145">
        <f t="shared" si="21"/>
        <v>-1000</v>
      </c>
      <c r="J30" s="146">
        <f t="shared" si="21"/>
        <v>-1000</v>
      </c>
      <c r="K30" s="147">
        <f t="shared" si="21"/>
        <v>-1000</v>
      </c>
      <c r="L30" s="145">
        <f>AVERAGE(L32:L41)</f>
        <v>-1000</v>
      </c>
      <c r="M30" s="146">
        <f t="shared" ref="M30:N30" si="22">AVERAGE(M32:M41)</f>
        <v>-1000</v>
      </c>
      <c r="N30" s="147">
        <f t="shared" si="22"/>
        <v>-1000</v>
      </c>
    </row>
    <row r="31" spans="1:14" s="135" customFormat="1" ht="14.1" customHeight="1" thickBot="1">
      <c r="B31" s="432">
        <f>STDEV(B32:B41)/B30*100</f>
        <v>0</v>
      </c>
      <c r="C31" s="139" t="e">
        <f>STDEV(C32:C41)/B30*100</f>
        <v>#DIV/0!</v>
      </c>
      <c r="D31" s="140" t="e">
        <f>STDEV(D32:D41)/B30*100</f>
        <v>#DIV/0!</v>
      </c>
      <c r="E31" s="412" t="e">
        <f>STDEV(E32:E41)/B30*100</f>
        <v>#DIV/0!</v>
      </c>
      <c r="F31" s="139" t="e">
        <f>STDEV(F32:F41)/B30*100</f>
        <v>#DIV/0!</v>
      </c>
      <c r="G31" s="140" t="e">
        <f>STDEV(G32:G41)/B30*100</f>
        <v>#DIV/0!</v>
      </c>
      <c r="H31" s="398" t="e">
        <f>STDEV(H32:H41)/B30*100</f>
        <v>#DIV/0!</v>
      </c>
      <c r="I31" s="192">
        <f>0.001*100*STDEV(I32:I41)/$B$30</f>
        <v>0</v>
      </c>
      <c r="J31" s="193">
        <f t="shared" ref="J31:K31" si="23">0.001*100*STDEV(J32:J41)/$B$30</f>
        <v>0</v>
      </c>
      <c r="K31" s="194">
        <f t="shared" si="23"/>
        <v>0</v>
      </c>
      <c r="L31" s="192">
        <f>0.001*100*STDEV(L32:L41)/$B$30</f>
        <v>0</v>
      </c>
      <c r="M31" s="193">
        <f t="shared" ref="M31:N31" si="24">0.001*100*STDEV(M32:M41)/$B$30</f>
        <v>0</v>
      </c>
      <c r="N31" s="194">
        <f t="shared" si="24"/>
        <v>0</v>
      </c>
    </row>
    <row r="32" spans="1:14" ht="14.1" customHeight="1">
      <c r="A32" s="573" t="s">
        <v>131</v>
      </c>
      <c r="B32" s="364">
        <v>1</v>
      </c>
      <c r="C32" s="4"/>
      <c r="D32" s="8"/>
      <c r="E32" s="14"/>
      <c r="F32" s="4"/>
      <c r="G32" s="8"/>
      <c r="H32" s="92"/>
      <c r="I32" s="189">
        <f t="shared" ref="I32:I41" si="25">(C32-B32)*1000</f>
        <v>-1000</v>
      </c>
      <c r="J32" s="132">
        <f t="shared" ref="J32:J41" si="26">(D32-B32)*1000</f>
        <v>-1000</v>
      </c>
      <c r="K32" s="191">
        <f t="shared" ref="K32:K41" si="27">(E32-B32)*1000</f>
        <v>-1000</v>
      </c>
      <c r="L32" s="189">
        <f t="shared" ref="L32:L41" si="28">(F32-B32)*1000</f>
        <v>-1000</v>
      </c>
      <c r="M32" s="132">
        <f t="shared" ref="M32:M41" si="29">(G32-B32)*1000</f>
        <v>-1000</v>
      </c>
      <c r="N32" s="191">
        <f t="shared" ref="N32:N41" si="30">(H32-B32)*1000</f>
        <v>-1000</v>
      </c>
    </row>
    <row r="33" spans="1:14" ht="14.1" customHeight="1">
      <c r="A33" s="574"/>
      <c r="B33" s="365">
        <v>1</v>
      </c>
      <c r="C33" s="4"/>
      <c r="D33" s="8"/>
      <c r="E33" s="14"/>
      <c r="F33" s="4"/>
      <c r="G33" s="8"/>
      <c r="H33" s="92"/>
      <c r="I33" s="85">
        <f t="shared" si="25"/>
        <v>-1000</v>
      </c>
      <c r="J33" s="6">
        <f t="shared" si="26"/>
        <v>-1000</v>
      </c>
      <c r="K33" s="96">
        <f t="shared" si="27"/>
        <v>-1000</v>
      </c>
      <c r="L33" s="85">
        <f t="shared" si="28"/>
        <v>-1000</v>
      </c>
      <c r="M33" s="6">
        <f t="shared" si="29"/>
        <v>-1000</v>
      </c>
      <c r="N33" s="96">
        <f t="shared" si="30"/>
        <v>-1000</v>
      </c>
    </row>
    <row r="34" spans="1:14" ht="14.1" customHeight="1">
      <c r="A34" s="574"/>
      <c r="B34" s="365">
        <v>1</v>
      </c>
      <c r="C34" s="4"/>
      <c r="D34" s="8"/>
      <c r="E34" s="14"/>
      <c r="F34" s="4"/>
      <c r="G34" s="8"/>
      <c r="H34" s="92"/>
      <c r="I34" s="85">
        <f t="shared" si="25"/>
        <v>-1000</v>
      </c>
      <c r="J34" s="6">
        <f t="shared" si="26"/>
        <v>-1000</v>
      </c>
      <c r="K34" s="96">
        <f t="shared" si="27"/>
        <v>-1000</v>
      </c>
      <c r="L34" s="85">
        <f t="shared" si="28"/>
        <v>-1000</v>
      </c>
      <c r="M34" s="6">
        <f t="shared" si="29"/>
        <v>-1000</v>
      </c>
      <c r="N34" s="96">
        <f t="shared" si="30"/>
        <v>-1000</v>
      </c>
    </row>
    <row r="35" spans="1:14" ht="14.1" customHeight="1">
      <c r="A35" s="574"/>
      <c r="B35" s="365">
        <v>1</v>
      </c>
      <c r="C35" s="4"/>
      <c r="D35" s="8"/>
      <c r="E35" s="14"/>
      <c r="F35" s="4"/>
      <c r="G35" s="8"/>
      <c r="H35" s="92"/>
      <c r="I35" s="85">
        <f t="shared" si="25"/>
        <v>-1000</v>
      </c>
      <c r="J35" s="6">
        <f t="shared" si="26"/>
        <v>-1000</v>
      </c>
      <c r="K35" s="96">
        <f t="shared" si="27"/>
        <v>-1000</v>
      </c>
      <c r="L35" s="85">
        <f t="shared" si="28"/>
        <v>-1000</v>
      </c>
      <c r="M35" s="6">
        <f t="shared" si="29"/>
        <v>-1000</v>
      </c>
      <c r="N35" s="96">
        <f t="shared" si="30"/>
        <v>-1000</v>
      </c>
    </row>
    <row r="36" spans="1:14" ht="14.1" customHeight="1">
      <c r="A36" s="574"/>
      <c r="B36" s="365">
        <v>1</v>
      </c>
      <c r="C36" s="4"/>
      <c r="D36" s="8"/>
      <c r="E36" s="14"/>
      <c r="F36" s="4"/>
      <c r="G36" s="8"/>
      <c r="H36" s="92"/>
      <c r="I36" s="85">
        <f t="shared" si="25"/>
        <v>-1000</v>
      </c>
      <c r="J36" s="6">
        <f t="shared" si="26"/>
        <v>-1000</v>
      </c>
      <c r="K36" s="96">
        <f t="shared" si="27"/>
        <v>-1000</v>
      </c>
      <c r="L36" s="85">
        <f t="shared" si="28"/>
        <v>-1000</v>
      </c>
      <c r="M36" s="6">
        <f t="shared" si="29"/>
        <v>-1000</v>
      </c>
      <c r="N36" s="96">
        <f t="shared" si="30"/>
        <v>-1000</v>
      </c>
    </row>
    <row r="37" spans="1:14" ht="14.1" customHeight="1">
      <c r="A37" s="574"/>
      <c r="B37" s="365">
        <v>1</v>
      </c>
      <c r="C37" s="4"/>
      <c r="D37" s="8"/>
      <c r="E37" s="14"/>
      <c r="F37" s="4"/>
      <c r="G37" s="8"/>
      <c r="H37" s="92"/>
      <c r="I37" s="85">
        <f t="shared" si="25"/>
        <v>-1000</v>
      </c>
      <c r="J37" s="6">
        <f t="shared" si="26"/>
        <v>-1000</v>
      </c>
      <c r="K37" s="96">
        <f t="shared" si="27"/>
        <v>-1000</v>
      </c>
      <c r="L37" s="85">
        <f t="shared" si="28"/>
        <v>-1000</v>
      </c>
      <c r="M37" s="6">
        <f t="shared" si="29"/>
        <v>-1000</v>
      </c>
      <c r="N37" s="96">
        <f t="shared" si="30"/>
        <v>-1000</v>
      </c>
    </row>
    <row r="38" spans="1:14" ht="14.1" customHeight="1">
      <c r="A38" s="574"/>
      <c r="B38" s="365">
        <v>1</v>
      </c>
      <c r="C38" s="4"/>
      <c r="D38" s="8"/>
      <c r="E38" s="14"/>
      <c r="F38" s="4"/>
      <c r="G38" s="8"/>
      <c r="H38" s="92"/>
      <c r="I38" s="85">
        <f t="shared" si="25"/>
        <v>-1000</v>
      </c>
      <c r="J38" s="6">
        <f t="shared" si="26"/>
        <v>-1000</v>
      </c>
      <c r="K38" s="96">
        <f t="shared" si="27"/>
        <v>-1000</v>
      </c>
      <c r="L38" s="85">
        <f t="shared" si="28"/>
        <v>-1000</v>
      </c>
      <c r="M38" s="6">
        <f t="shared" si="29"/>
        <v>-1000</v>
      </c>
      <c r="N38" s="96">
        <f t="shared" si="30"/>
        <v>-1000</v>
      </c>
    </row>
    <row r="39" spans="1:14" ht="14.1" customHeight="1">
      <c r="A39" s="574"/>
      <c r="B39" s="365">
        <v>1</v>
      </c>
      <c r="C39" s="4"/>
      <c r="D39" s="8"/>
      <c r="E39" s="14"/>
      <c r="F39" s="4"/>
      <c r="G39" s="8"/>
      <c r="H39" s="92"/>
      <c r="I39" s="85">
        <f t="shared" si="25"/>
        <v>-1000</v>
      </c>
      <c r="J39" s="6">
        <f t="shared" si="26"/>
        <v>-1000</v>
      </c>
      <c r="K39" s="96">
        <f t="shared" si="27"/>
        <v>-1000</v>
      </c>
      <c r="L39" s="85">
        <f t="shared" si="28"/>
        <v>-1000</v>
      </c>
      <c r="M39" s="6">
        <f t="shared" si="29"/>
        <v>-1000</v>
      </c>
      <c r="N39" s="96">
        <f t="shared" si="30"/>
        <v>-1000</v>
      </c>
    </row>
    <row r="40" spans="1:14" ht="14.1" customHeight="1">
      <c r="A40" s="574"/>
      <c r="B40" s="365">
        <v>1</v>
      </c>
      <c r="C40" s="4"/>
      <c r="D40" s="8"/>
      <c r="E40" s="14"/>
      <c r="F40" s="4"/>
      <c r="G40" s="8"/>
      <c r="H40" s="92"/>
      <c r="I40" s="85">
        <f t="shared" si="25"/>
        <v>-1000</v>
      </c>
      <c r="J40" s="6">
        <f t="shared" si="26"/>
        <v>-1000</v>
      </c>
      <c r="K40" s="96">
        <f t="shared" si="27"/>
        <v>-1000</v>
      </c>
      <c r="L40" s="85">
        <f t="shared" si="28"/>
        <v>-1000</v>
      </c>
      <c r="M40" s="6">
        <f t="shared" si="29"/>
        <v>-1000</v>
      </c>
      <c r="N40" s="96">
        <f t="shared" si="30"/>
        <v>-1000</v>
      </c>
    </row>
    <row r="41" spans="1:14" ht="14.1" customHeight="1" thickBot="1">
      <c r="A41" s="575"/>
      <c r="B41" s="367">
        <v>1</v>
      </c>
      <c r="C41" s="15"/>
      <c r="D41" s="18"/>
      <c r="E41" s="19"/>
      <c r="F41" s="15"/>
      <c r="G41" s="18"/>
      <c r="H41" s="93"/>
      <c r="I41" s="86">
        <f t="shared" si="25"/>
        <v>-1000</v>
      </c>
      <c r="J41" s="17">
        <f t="shared" si="26"/>
        <v>-1000</v>
      </c>
      <c r="K41" s="97">
        <f t="shared" si="27"/>
        <v>-1000</v>
      </c>
      <c r="L41" s="86">
        <f t="shared" si="28"/>
        <v>-1000</v>
      </c>
      <c r="M41" s="17">
        <f t="shared" si="29"/>
        <v>-1000</v>
      </c>
      <c r="N41" s="97">
        <f t="shared" si="30"/>
        <v>-1000</v>
      </c>
    </row>
    <row r="42" spans="1:14" ht="14.1" customHeight="1">
      <c r="B42" s="431" t="s">
        <v>143</v>
      </c>
      <c r="C42" s="22" t="s">
        <v>144</v>
      </c>
      <c r="D42" s="23" t="s">
        <v>145</v>
      </c>
      <c r="E42" s="24" t="s">
        <v>146</v>
      </c>
      <c r="F42" s="22" t="s">
        <v>144</v>
      </c>
      <c r="G42" s="23" t="s">
        <v>145</v>
      </c>
      <c r="H42" s="187" t="s">
        <v>146</v>
      </c>
      <c r="I42" s="99" t="s">
        <v>140</v>
      </c>
      <c r="J42" s="100" t="s">
        <v>141</v>
      </c>
      <c r="K42" s="101" t="s">
        <v>142</v>
      </c>
      <c r="L42" s="99" t="s">
        <v>140</v>
      </c>
      <c r="M42" s="100" t="s">
        <v>141</v>
      </c>
      <c r="N42" s="101" t="s">
        <v>142</v>
      </c>
    </row>
    <row r="43" spans="1:14" ht="14.1" customHeight="1">
      <c r="B43" s="106">
        <f t="shared" ref="B43" si="31">AVERAGE(B45:B54)</f>
        <v>0.5</v>
      </c>
      <c r="C43" s="25" t="e">
        <f t="shared" ref="C43:K43" si="32">AVERAGE(C45:C54)</f>
        <v>#DIV/0!</v>
      </c>
      <c r="D43" s="26" t="e">
        <f t="shared" si="32"/>
        <v>#DIV/0!</v>
      </c>
      <c r="E43" s="27" t="e">
        <f t="shared" si="32"/>
        <v>#DIV/0!</v>
      </c>
      <c r="F43" s="25" t="e">
        <f t="shared" si="32"/>
        <v>#DIV/0!</v>
      </c>
      <c r="G43" s="26" t="e">
        <f t="shared" si="32"/>
        <v>#DIV/0!</v>
      </c>
      <c r="H43" s="32" t="e">
        <f t="shared" si="32"/>
        <v>#DIV/0!</v>
      </c>
      <c r="I43" s="145">
        <f t="shared" si="32"/>
        <v>-500</v>
      </c>
      <c r="J43" s="146">
        <f t="shared" si="32"/>
        <v>-500</v>
      </c>
      <c r="K43" s="147">
        <f t="shared" si="32"/>
        <v>-500</v>
      </c>
      <c r="L43" s="145">
        <f>AVERAGE(L45:L54)</f>
        <v>-500</v>
      </c>
      <c r="M43" s="146">
        <f t="shared" ref="M43:N43" si="33">AVERAGE(M45:M54)</f>
        <v>-500</v>
      </c>
      <c r="N43" s="147">
        <f t="shared" si="33"/>
        <v>-500</v>
      </c>
    </row>
    <row r="44" spans="1:14" s="135" customFormat="1" ht="14.1" customHeight="1" thickBot="1">
      <c r="B44" s="432">
        <f>STDEV(B45:B54)/B43*100</f>
        <v>0</v>
      </c>
      <c r="C44" s="139" t="e">
        <f>STDEV(C45:C54)/B43*100</f>
        <v>#DIV/0!</v>
      </c>
      <c r="D44" s="140" t="e">
        <f>STDEV(D45:D54)/B43*100</f>
        <v>#DIV/0!</v>
      </c>
      <c r="E44" s="412" t="e">
        <f>STDEV(E45:E54)/B43*100</f>
        <v>#DIV/0!</v>
      </c>
      <c r="F44" s="139" t="e">
        <f>STDEV(F45:F54)/B43*100</f>
        <v>#DIV/0!</v>
      </c>
      <c r="G44" s="140" t="e">
        <f>STDEV(G45:G54)/B43*100</f>
        <v>#DIV/0!</v>
      </c>
      <c r="H44" s="398" t="e">
        <f>STDEV(H45:H54)/B43*100</f>
        <v>#DIV/0!</v>
      </c>
      <c r="I44" s="192">
        <f>0.001*100*STDEV(I45:I54)/$B$43</f>
        <v>0</v>
      </c>
      <c r="J44" s="193">
        <f t="shared" ref="J44:K44" si="34">0.001*100*STDEV(J45:J54)/$B$43</f>
        <v>0</v>
      </c>
      <c r="K44" s="194">
        <f t="shared" si="34"/>
        <v>0</v>
      </c>
      <c r="L44" s="192">
        <f>0.001*100*STDEV(L45:L54)/$B$43</f>
        <v>0</v>
      </c>
      <c r="M44" s="193">
        <f t="shared" ref="M44:N44" si="35">0.001*100*STDEV(M45:M54)/$B$43</f>
        <v>0</v>
      </c>
      <c r="N44" s="194">
        <f t="shared" si="35"/>
        <v>0</v>
      </c>
    </row>
    <row r="45" spans="1:14" ht="14.1" customHeight="1">
      <c r="A45" s="559" t="s">
        <v>126</v>
      </c>
      <c r="B45" s="433">
        <v>0.5</v>
      </c>
      <c r="C45" s="9"/>
      <c r="D45" s="12"/>
      <c r="E45" s="13"/>
      <c r="F45" s="9"/>
      <c r="G45" s="12"/>
      <c r="H45" s="91"/>
      <c r="I45" s="189">
        <f t="shared" ref="I45:I54" si="36">(C45-B45)*1000</f>
        <v>-500</v>
      </c>
      <c r="J45" s="132">
        <f t="shared" ref="J45:J54" si="37">(D45-B45)*1000</f>
        <v>-500</v>
      </c>
      <c r="K45" s="191">
        <f t="shared" ref="K45:K54" si="38">(E45-B45)*1000</f>
        <v>-500</v>
      </c>
      <c r="L45" s="189">
        <f t="shared" ref="L45:L54" si="39">(F45-B45)*1000</f>
        <v>-500</v>
      </c>
      <c r="M45" s="132">
        <f t="shared" ref="M45:M54" si="40">(G45-B45)*1000</f>
        <v>-500</v>
      </c>
      <c r="N45" s="191">
        <f t="shared" ref="N45:N54" si="41">(H45-B45)*1000</f>
        <v>-500</v>
      </c>
    </row>
    <row r="46" spans="1:14" ht="14.1" customHeight="1">
      <c r="A46" s="560"/>
      <c r="B46" s="434">
        <v>0.5</v>
      </c>
      <c r="C46" s="4"/>
      <c r="D46" s="8"/>
      <c r="E46" s="14"/>
      <c r="F46" s="4"/>
      <c r="G46" s="8"/>
      <c r="H46" s="92"/>
      <c r="I46" s="85">
        <f t="shared" si="36"/>
        <v>-500</v>
      </c>
      <c r="J46" s="6">
        <f t="shared" si="37"/>
        <v>-500</v>
      </c>
      <c r="K46" s="96">
        <f t="shared" si="38"/>
        <v>-500</v>
      </c>
      <c r="L46" s="85">
        <f t="shared" si="39"/>
        <v>-500</v>
      </c>
      <c r="M46" s="6">
        <f t="shared" si="40"/>
        <v>-500</v>
      </c>
      <c r="N46" s="96">
        <f t="shared" si="41"/>
        <v>-500</v>
      </c>
    </row>
    <row r="47" spans="1:14" ht="14.1" customHeight="1">
      <c r="A47" s="560"/>
      <c r="B47" s="434">
        <v>0.5</v>
      </c>
      <c r="C47" s="4"/>
      <c r="D47" s="8"/>
      <c r="E47" s="14"/>
      <c r="F47" s="4"/>
      <c r="G47" s="8"/>
      <c r="H47" s="92"/>
      <c r="I47" s="85">
        <f t="shared" si="36"/>
        <v>-500</v>
      </c>
      <c r="J47" s="6">
        <f t="shared" si="37"/>
        <v>-500</v>
      </c>
      <c r="K47" s="96">
        <f t="shared" si="38"/>
        <v>-500</v>
      </c>
      <c r="L47" s="85">
        <f t="shared" si="39"/>
        <v>-500</v>
      </c>
      <c r="M47" s="6">
        <f t="shared" si="40"/>
        <v>-500</v>
      </c>
      <c r="N47" s="96">
        <f t="shared" si="41"/>
        <v>-500</v>
      </c>
    </row>
    <row r="48" spans="1:14" ht="14.1" customHeight="1">
      <c r="A48" s="560"/>
      <c r="B48" s="434">
        <v>0.5</v>
      </c>
      <c r="C48" s="4"/>
      <c r="D48" s="8"/>
      <c r="E48" s="14"/>
      <c r="F48" s="4"/>
      <c r="G48" s="8"/>
      <c r="H48" s="92"/>
      <c r="I48" s="85">
        <f t="shared" si="36"/>
        <v>-500</v>
      </c>
      <c r="J48" s="6">
        <f t="shared" si="37"/>
        <v>-500</v>
      </c>
      <c r="K48" s="96">
        <f t="shared" si="38"/>
        <v>-500</v>
      </c>
      <c r="L48" s="85">
        <f t="shared" si="39"/>
        <v>-500</v>
      </c>
      <c r="M48" s="6">
        <f t="shared" si="40"/>
        <v>-500</v>
      </c>
      <c r="N48" s="96">
        <f t="shared" si="41"/>
        <v>-500</v>
      </c>
    </row>
    <row r="49" spans="1:14" ht="14.1" customHeight="1">
      <c r="A49" s="560"/>
      <c r="B49" s="434">
        <v>0.5</v>
      </c>
      <c r="C49" s="4"/>
      <c r="D49" s="8"/>
      <c r="E49" s="14"/>
      <c r="F49" s="4"/>
      <c r="G49" s="8"/>
      <c r="H49" s="92"/>
      <c r="I49" s="85">
        <f t="shared" si="36"/>
        <v>-500</v>
      </c>
      <c r="J49" s="6">
        <f t="shared" si="37"/>
        <v>-500</v>
      </c>
      <c r="K49" s="96">
        <f t="shared" si="38"/>
        <v>-500</v>
      </c>
      <c r="L49" s="85">
        <f t="shared" si="39"/>
        <v>-500</v>
      </c>
      <c r="M49" s="6">
        <f t="shared" si="40"/>
        <v>-500</v>
      </c>
      <c r="N49" s="96">
        <f t="shared" si="41"/>
        <v>-500</v>
      </c>
    </row>
    <row r="50" spans="1:14" ht="14.1" customHeight="1">
      <c r="A50" s="560"/>
      <c r="B50" s="434">
        <v>0.5</v>
      </c>
      <c r="C50" s="4"/>
      <c r="D50" s="8"/>
      <c r="E50" s="14"/>
      <c r="F50" s="4"/>
      <c r="G50" s="8"/>
      <c r="H50" s="92"/>
      <c r="I50" s="85">
        <f t="shared" si="36"/>
        <v>-500</v>
      </c>
      <c r="J50" s="6">
        <f t="shared" si="37"/>
        <v>-500</v>
      </c>
      <c r="K50" s="96">
        <f t="shared" si="38"/>
        <v>-500</v>
      </c>
      <c r="L50" s="85">
        <f t="shared" si="39"/>
        <v>-500</v>
      </c>
      <c r="M50" s="6">
        <f t="shared" si="40"/>
        <v>-500</v>
      </c>
      <c r="N50" s="96">
        <f t="shared" si="41"/>
        <v>-500</v>
      </c>
    </row>
    <row r="51" spans="1:14" ht="14.1" customHeight="1">
      <c r="A51" s="560"/>
      <c r="B51" s="434">
        <v>0.5</v>
      </c>
      <c r="C51" s="4"/>
      <c r="D51" s="8"/>
      <c r="E51" s="14"/>
      <c r="F51" s="4"/>
      <c r="G51" s="8"/>
      <c r="H51" s="92"/>
      <c r="I51" s="85">
        <f t="shared" si="36"/>
        <v>-500</v>
      </c>
      <c r="J51" s="6">
        <f t="shared" si="37"/>
        <v>-500</v>
      </c>
      <c r="K51" s="96">
        <f t="shared" si="38"/>
        <v>-500</v>
      </c>
      <c r="L51" s="85">
        <f t="shared" si="39"/>
        <v>-500</v>
      </c>
      <c r="M51" s="6">
        <f t="shared" si="40"/>
        <v>-500</v>
      </c>
      <c r="N51" s="96">
        <f t="shared" si="41"/>
        <v>-500</v>
      </c>
    </row>
    <row r="52" spans="1:14" ht="14.1" customHeight="1">
      <c r="A52" s="560"/>
      <c r="B52" s="434">
        <v>0.5</v>
      </c>
      <c r="C52" s="4"/>
      <c r="D52" s="8"/>
      <c r="E52" s="14"/>
      <c r="F52" s="4"/>
      <c r="G52" s="8"/>
      <c r="H52" s="92"/>
      <c r="I52" s="85">
        <f t="shared" si="36"/>
        <v>-500</v>
      </c>
      <c r="J52" s="6">
        <f t="shared" si="37"/>
        <v>-500</v>
      </c>
      <c r="K52" s="96">
        <f t="shared" si="38"/>
        <v>-500</v>
      </c>
      <c r="L52" s="85">
        <f t="shared" si="39"/>
        <v>-500</v>
      </c>
      <c r="M52" s="6">
        <f t="shared" si="40"/>
        <v>-500</v>
      </c>
      <c r="N52" s="96">
        <f t="shared" si="41"/>
        <v>-500</v>
      </c>
    </row>
    <row r="53" spans="1:14" ht="14.1" customHeight="1">
      <c r="A53" s="560"/>
      <c r="B53" s="434">
        <v>0.5</v>
      </c>
      <c r="C53" s="4"/>
      <c r="D53" s="8"/>
      <c r="E53" s="14"/>
      <c r="F53" s="4"/>
      <c r="G53" s="8"/>
      <c r="H53" s="92"/>
      <c r="I53" s="85">
        <f t="shared" si="36"/>
        <v>-500</v>
      </c>
      <c r="J53" s="6">
        <f t="shared" si="37"/>
        <v>-500</v>
      </c>
      <c r="K53" s="96">
        <f t="shared" si="38"/>
        <v>-500</v>
      </c>
      <c r="L53" s="85">
        <f t="shared" si="39"/>
        <v>-500</v>
      </c>
      <c r="M53" s="6">
        <f t="shared" si="40"/>
        <v>-500</v>
      </c>
      <c r="N53" s="96">
        <f t="shared" si="41"/>
        <v>-500</v>
      </c>
    </row>
    <row r="54" spans="1:14" ht="14.1" customHeight="1" thickBot="1">
      <c r="A54" s="561"/>
      <c r="B54" s="435">
        <v>0.5</v>
      </c>
      <c r="C54" s="15"/>
      <c r="D54" s="18"/>
      <c r="E54" s="19"/>
      <c r="F54" s="15"/>
      <c r="G54" s="18"/>
      <c r="H54" s="93"/>
      <c r="I54" s="86">
        <f t="shared" si="36"/>
        <v>-500</v>
      </c>
      <c r="J54" s="17">
        <f t="shared" si="37"/>
        <v>-500</v>
      </c>
      <c r="K54" s="97">
        <f t="shared" si="38"/>
        <v>-500</v>
      </c>
      <c r="L54" s="86">
        <f t="shared" si="39"/>
        <v>-500</v>
      </c>
      <c r="M54" s="17">
        <f t="shared" si="40"/>
        <v>-500</v>
      </c>
      <c r="N54" s="97">
        <f t="shared" si="41"/>
        <v>-500</v>
      </c>
    </row>
    <row r="55" spans="1:14" ht="14.1" customHeight="1">
      <c r="B55" s="431" t="s">
        <v>143</v>
      </c>
      <c r="C55" s="22" t="s">
        <v>144</v>
      </c>
      <c r="D55" s="23" t="s">
        <v>145</v>
      </c>
      <c r="E55" s="24" t="s">
        <v>146</v>
      </c>
      <c r="F55" s="22" t="s">
        <v>144</v>
      </c>
      <c r="G55" s="23" t="s">
        <v>145</v>
      </c>
      <c r="H55" s="187" t="s">
        <v>146</v>
      </c>
      <c r="I55" s="99" t="s">
        <v>140</v>
      </c>
      <c r="J55" s="100" t="s">
        <v>141</v>
      </c>
      <c r="K55" s="101" t="s">
        <v>142</v>
      </c>
      <c r="L55" s="99" t="s">
        <v>140</v>
      </c>
      <c r="M55" s="100" t="s">
        <v>141</v>
      </c>
      <c r="N55" s="101" t="s">
        <v>142</v>
      </c>
    </row>
    <row r="56" spans="1:14" ht="14.1" customHeight="1">
      <c r="B56" s="106">
        <f t="shared" ref="B56" si="42">AVERAGE(B58:B67)</f>
        <v>0.25</v>
      </c>
      <c r="C56" s="25" t="e">
        <f t="shared" ref="C56:K56" si="43">AVERAGE(C58:C67)</f>
        <v>#DIV/0!</v>
      </c>
      <c r="D56" s="26" t="e">
        <f t="shared" si="43"/>
        <v>#DIV/0!</v>
      </c>
      <c r="E56" s="27" t="e">
        <f t="shared" si="43"/>
        <v>#DIV/0!</v>
      </c>
      <c r="F56" s="25" t="e">
        <f t="shared" si="43"/>
        <v>#DIV/0!</v>
      </c>
      <c r="G56" s="26" t="e">
        <f t="shared" si="43"/>
        <v>#DIV/0!</v>
      </c>
      <c r="H56" s="32" t="e">
        <f t="shared" si="43"/>
        <v>#DIV/0!</v>
      </c>
      <c r="I56" s="145">
        <f t="shared" si="43"/>
        <v>-250</v>
      </c>
      <c r="J56" s="146">
        <f t="shared" si="43"/>
        <v>-250</v>
      </c>
      <c r="K56" s="147">
        <f t="shared" si="43"/>
        <v>-250</v>
      </c>
      <c r="L56" s="145">
        <f>AVERAGE(L58:L67)</f>
        <v>-250</v>
      </c>
      <c r="M56" s="146">
        <f t="shared" ref="M56:N56" si="44">AVERAGE(M58:M67)</f>
        <v>-250</v>
      </c>
      <c r="N56" s="147">
        <f t="shared" si="44"/>
        <v>-250</v>
      </c>
    </row>
    <row r="57" spans="1:14" s="135" customFormat="1" ht="14.1" customHeight="1" thickBot="1">
      <c r="B57" s="432">
        <f>STDEV(B58:B67)/B56*100</f>
        <v>0</v>
      </c>
      <c r="C57" s="139" t="e">
        <f>STDEV(C58:C67)/B56*100</f>
        <v>#DIV/0!</v>
      </c>
      <c r="D57" s="140" t="e">
        <f>STDEV(D58:D67)/B56*100</f>
        <v>#DIV/0!</v>
      </c>
      <c r="E57" s="412" t="e">
        <f>STDEV(E58:E67)/B56*100</f>
        <v>#DIV/0!</v>
      </c>
      <c r="F57" s="139" t="e">
        <f>STDEV(F58:F67)/B56*100</f>
        <v>#DIV/0!</v>
      </c>
      <c r="G57" s="140" t="e">
        <f>STDEV(G58:G67)/B56*100</f>
        <v>#DIV/0!</v>
      </c>
      <c r="H57" s="398" t="e">
        <f>STDEV(H58:H67)/B56*100</f>
        <v>#DIV/0!</v>
      </c>
      <c r="I57" s="192">
        <f>0.001*100*STDEV(I58:I67)/$B$56</f>
        <v>0</v>
      </c>
      <c r="J57" s="193">
        <f t="shared" ref="J57:K57" si="45">0.001*100*STDEV(J58:J67)/$B$56</f>
        <v>0</v>
      </c>
      <c r="K57" s="194">
        <f t="shared" si="45"/>
        <v>0</v>
      </c>
      <c r="L57" s="192">
        <f>0.001*100*STDEV(L58:L67)/$B$56</f>
        <v>0</v>
      </c>
      <c r="M57" s="193">
        <f t="shared" ref="M57:N57" si="46">0.001*100*STDEV(M58:M67)/$B$56</f>
        <v>0</v>
      </c>
      <c r="N57" s="194">
        <f t="shared" si="46"/>
        <v>0</v>
      </c>
    </row>
    <row r="58" spans="1:14" ht="14.1" customHeight="1">
      <c r="A58" s="559" t="s">
        <v>127</v>
      </c>
      <c r="B58" s="439">
        <v>0.25</v>
      </c>
      <c r="C58" s="9"/>
      <c r="D58" s="12"/>
      <c r="E58" s="13"/>
      <c r="F58" s="9"/>
      <c r="G58" s="12"/>
      <c r="H58" s="91"/>
      <c r="I58" s="85">
        <f t="shared" ref="I58:I67" si="47">(C58-B58)*1000</f>
        <v>-250</v>
      </c>
      <c r="J58" s="6">
        <f t="shared" ref="J58:J67" si="48">(D58-B58)*1000</f>
        <v>-250</v>
      </c>
      <c r="K58" s="96">
        <f t="shared" ref="K58:K67" si="49">(E58-B58)*1000</f>
        <v>-250</v>
      </c>
      <c r="L58" s="85">
        <f t="shared" ref="L58:L67" si="50">(F58-B58)*1000</f>
        <v>-250</v>
      </c>
      <c r="M58" s="6">
        <f t="shared" ref="M58:M67" si="51">(G58-B58)*1000</f>
        <v>-250</v>
      </c>
      <c r="N58" s="96">
        <f t="shared" ref="N58:N67" si="52">(H58-B58)*1000</f>
        <v>-250</v>
      </c>
    </row>
    <row r="59" spans="1:14" ht="14.1" customHeight="1">
      <c r="A59" s="560"/>
      <c r="B59" s="440">
        <v>0.25</v>
      </c>
      <c r="C59" s="4"/>
      <c r="D59" s="8"/>
      <c r="E59" s="14"/>
      <c r="F59" s="4"/>
      <c r="G59" s="8"/>
      <c r="H59" s="92"/>
      <c r="I59" s="85">
        <f t="shared" si="47"/>
        <v>-250</v>
      </c>
      <c r="J59" s="6">
        <f t="shared" si="48"/>
        <v>-250</v>
      </c>
      <c r="K59" s="96">
        <f t="shared" si="49"/>
        <v>-250</v>
      </c>
      <c r="L59" s="85">
        <f t="shared" si="50"/>
        <v>-250</v>
      </c>
      <c r="M59" s="6">
        <f t="shared" si="51"/>
        <v>-250</v>
      </c>
      <c r="N59" s="96">
        <f t="shared" si="52"/>
        <v>-250</v>
      </c>
    </row>
    <row r="60" spans="1:14" ht="14.1" customHeight="1">
      <c r="A60" s="560"/>
      <c r="B60" s="440">
        <v>0.25</v>
      </c>
      <c r="C60" s="4"/>
      <c r="D60" s="8"/>
      <c r="E60" s="14"/>
      <c r="F60" s="4"/>
      <c r="G60" s="8"/>
      <c r="H60" s="92"/>
      <c r="I60" s="85">
        <f t="shared" si="47"/>
        <v>-250</v>
      </c>
      <c r="J60" s="6">
        <f t="shared" si="48"/>
        <v>-250</v>
      </c>
      <c r="K60" s="96">
        <f t="shared" si="49"/>
        <v>-250</v>
      </c>
      <c r="L60" s="85">
        <f t="shared" si="50"/>
        <v>-250</v>
      </c>
      <c r="M60" s="6">
        <f t="shared" si="51"/>
        <v>-250</v>
      </c>
      <c r="N60" s="96">
        <f t="shared" si="52"/>
        <v>-250</v>
      </c>
    </row>
    <row r="61" spans="1:14" ht="14.1" customHeight="1">
      <c r="A61" s="560"/>
      <c r="B61" s="440">
        <v>0.25</v>
      </c>
      <c r="C61" s="4"/>
      <c r="D61" s="8"/>
      <c r="E61" s="14"/>
      <c r="F61" s="4"/>
      <c r="G61" s="8"/>
      <c r="H61" s="92"/>
      <c r="I61" s="85">
        <f t="shared" si="47"/>
        <v>-250</v>
      </c>
      <c r="J61" s="6">
        <f t="shared" si="48"/>
        <v>-250</v>
      </c>
      <c r="K61" s="96">
        <f t="shared" si="49"/>
        <v>-250</v>
      </c>
      <c r="L61" s="85">
        <f t="shared" si="50"/>
        <v>-250</v>
      </c>
      <c r="M61" s="6">
        <f t="shared" si="51"/>
        <v>-250</v>
      </c>
      <c r="N61" s="96">
        <f t="shared" si="52"/>
        <v>-250</v>
      </c>
    </row>
    <row r="62" spans="1:14" ht="14.1" customHeight="1">
      <c r="A62" s="560"/>
      <c r="B62" s="440">
        <v>0.25</v>
      </c>
      <c r="C62" s="4"/>
      <c r="D62" s="8"/>
      <c r="E62" s="14"/>
      <c r="F62" s="4"/>
      <c r="G62" s="8"/>
      <c r="H62" s="92"/>
      <c r="I62" s="85">
        <f t="shared" si="47"/>
        <v>-250</v>
      </c>
      <c r="J62" s="6">
        <f t="shared" si="48"/>
        <v>-250</v>
      </c>
      <c r="K62" s="96">
        <f t="shared" si="49"/>
        <v>-250</v>
      </c>
      <c r="L62" s="85">
        <f t="shared" si="50"/>
        <v>-250</v>
      </c>
      <c r="M62" s="6">
        <f t="shared" si="51"/>
        <v>-250</v>
      </c>
      <c r="N62" s="96">
        <f t="shared" si="52"/>
        <v>-250</v>
      </c>
    </row>
    <row r="63" spans="1:14" ht="14.1" customHeight="1">
      <c r="A63" s="560"/>
      <c r="B63" s="440">
        <v>0.25</v>
      </c>
      <c r="C63" s="4"/>
      <c r="D63" s="8"/>
      <c r="E63" s="14"/>
      <c r="F63" s="4"/>
      <c r="G63" s="8"/>
      <c r="H63" s="92"/>
      <c r="I63" s="85">
        <f t="shared" si="47"/>
        <v>-250</v>
      </c>
      <c r="J63" s="6">
        <f t="shared" si="48"/>
        <v>-250</v>
      </c>
      <c r="K63" s="96">
        <f t="shared" si="49"/>
        <v>-250</v>
      </c>
      <c r="L63" s="85">
        <f t="shared" si="50"/>
        <v>-250</v>
      </c>
      <c r="M63" s="6">
        <f t="shared" si="51"/>
        <v>-250</v>
      </c>
      <c r="N63" s="96">
        <f t="shared" si="52"/>
        <v>-250</v>
      </c>
    </row>
    <row r="64" spans="1:14" ht="14.1" customHeight="1">
      <c r="A64" s="560"/>
      <c r="B64" s="440">
        <v>0.25</v>
      </c>
      <c r="C64" s="4"/>
      <c r="D64" s="8"/>
      <c r="E64" s="14"/>
      <c r="F64" s="4"/>
      <c r="G64" s="8"/>
      <c r="H64" s="92"/>
      <c r="I64" s="85">
        <f t="shared" si="47"/>
        <v>-250</v>
      </c>
      <c r="J64" s="6">
        <f t="shared" si="48"/>
        <v>-250</v>
      </c>
      <c r="K64" s="96">
        <f t="shared" si="49"/>
        <v>-250</v>
      </c>
      <c r="L64" s="85">
        <f t="shared" si="50"/>
        <v>-250</v>
      </c>
      <c r="M64" s="6">
        <f t="shared" si="51"/>
        <v>-250</v>
      </c>
      <c r="N64" s="96">
        <f t="shared" si="52"/>
        <v>-250</v>
      </c>
    </row>
    <row r="65" spans="1:14" ht="14.1" customHeight="1">
      <c r="A65" s="560"/>
      <c r="B65" s="440">
        <v>0.25</v>
      </c>
      <c r="C65" s="4"/>
      <c r="D65" s="8"/>
      <c r="E65" s="14"/>
      <c r="F65" s="4"/>
      <c r="G65" s="8"/>
      <c r="H65" s="92"/>
      <c r="I65" s="85">
        <f t="shared" si="47"/>
        <v>-250</v>
      </c>
      <c r="J65" s="6">
        <f t="shared" si="48"/>
        <v>-250</v>
      </c>
      <c r="K65" s="96">
        <f t="shared" si="49"/>
        <v>-250</v>
      </c>
      <c r="L65" s="85">
        <f t="shared" si="50"/>
        <v>-250</v>
      </c>
      <c r="M65" s="6">
        <f t="shared" si="51"/>
        <v>-250</v>
      </c>
      <c r="N65" s="96">
        <f t="shared" si="52"/>
        <v>-250</v>
      </c>
    </row>
    <row r="66" spans="1:14" ht="14.1" customHeight="1">
      <c r="A66" s="560"/>
      <c r="B66" s="440">
        <v>0.25</v>
      </c>
      <c r="C66" s="4"/>
      <c r="D66" s="8"/>
      <c r="E66" s="14"/>
      <c r="F66" s="4"/>
      <c r="G66" s="8"/>
      <c r="H66" s="92"/>
      <c r="I66" s="85">
        <f t="shared" si="47"/>
        <v>-250</v>
      </c>
      <c r="J66" s="6">
        <f t="shared" si="48"/>
        <v>-250</v>
      </c>
      <c r="K66" s="96">
        <f t="shared" si="49"/>
        <v>-250</v>
      </c>
      <c r="L66" s="85">
        <f t="shared" si="50"/>
        <v>-250</v>
      </c>
      <c r="M66" s="6">
        <f t="shared" si="51"/>
        <v>-250</v>
      </c>
      <c r="N66" s="96">
        <f t="shared" si="52"/>
        <v>-250</v>
      </c>
    </row>
    <row r="67" spans="1:14" ht="14.1" customHeight="1" thickBot="1">
      <c r="A67" s="561"/>
      <c r="B67" s="441">
        <v>0.25</v>
      </c>
      <c r="C67" s="15"/>
      <c r="D67" s="18"/>
      <c r="E67" s="19"/>
      <c r="F67" s="15"/>
      <c r="G67" s="18"/>
      <c r="H67" s="93"/>
      <c r="I67" s="86">
        <f t="shared" si="47"/>
        <v>-250</v>
      </c>
      <c r="J67" s="17">
        <f t="shared" si="48"/>
        <v>-250</v>
      </c>
      <c r="K67" s="97">
        <f t="shared" si="49"/>
        <v>-250</v>
      </c>
      <c r="L67" s="86">
        <f t="shared" si="50"/>
        <v>-250</v>
      </c>
      <c r="M67" s="17">
        <f t="shared" si="51"/>
        <v>-250</v>
      </c>
      <c r="N67" s="97">
        <f t="shared" si="52"/>
        <v>-250</v>
      </c>
    </row>
    <row r="68" spans="1:14" ht="14.1" customHeight="1">
      <c r="B68" s="415" t="s">
        <v>143</v>
      </c>
      <c r="C68" s="22" t="s">
        <v>144</v>
      </c>
      <c r="D68" s="23" t="s">
        <v>145</v>
      </c>
      <c r="E68" s="24" t="s">
        <v>146</v>
      </c>
      <c r="F68" s="22" t="s">
        <v>144</v>
      </c>
      <c r="G68" s="23" t="s">
        <v>145</v>
      </c>
      <c r="H68" s="24" t="s">
        <v>146</v>
      </c>
      <c r="I68" s="425" t="s">
        <v>140</v>
      </c>
      <c r="J68" s="100" t="s">
        <v>141</v>
      </c>
      <c r="K68" s="101" t="s">
        <v>142</v>
      </c>
      <c r="L68" s="99" t="s">
        <v>140</v>
      </c>
      <c r="M68" s="100" t="s">
        <v>141</v>
      </c>
      <c r="N68" s="101" t="s">
        <v>142</v>
      </c>
    </row>
    <row r="69" spans="1:14" ht="14.1" customHeight="1">
      <c r="B69" s="32">
        <f t="shared" ref="B69" si="53">AVERAGE(B71:B80)</f>
        <v>9.9999999999999992E-2</v>
      </c>
      <c r="C69" s="25" t="e">
        <f t="shared" ref="C69:K69" si="54">AVERAGE(C71:C80)</f>
        <v>#DIV/0!</v>
      </c>
      <c r="D69" s="26" t="e">
        <f t="shared" si="54"/>
        <v>#DIV/0!</v>
      </c>
      <c r="E69" s="27" t="e">
        <f t="shared" si="54"/>
        <v>#DIV/0!</v>
      </c>
      <c r="F69" s="25" t="e">
        <f t="shared" si="54"/>
        <v>#DIV/0!</v>
      </c>
      <c r="G69" s="26" t="e">
        <f t="shared" si="54"/>
        <v>#DIV/0!</v>
      </c>
      <c r="H69" s="27" t="e">
        <f t="shared" si="54"/>
        <v>#DIV/0!</v>
      </c>
      <c r="I69" s="426">
        <f t="shared" si="54"/>
        <v>-100</v>
      </c>
      <c r="J69" s="146">
        <f t="shared" si="54"/>
        <v>-100</v>
      </c>
      <c r="K69" s="147">
        <f t="shared" si="54"/>
        <v>-100</v>
      </c>
      <c r="L69" s="145">
        <f>AVERAGE(L71:L80)</f>
        <v>-100</v>
      </c>
      <c r="M69" s="146">
        <f t="shared" ref="M69:N69" si="55">AVERAGE(M71:M80)</f>
        <v>-100</v>
      </c>
      <c r="N69" s="147">
        <f t="shared" si="55"/>
        <v>-100</v>
      </c>
    </row>
    <row r="70" spans="1:14" s="135" customFormat="1" ht="14.1" customHeight="1" thickBot="1">
      <c r="B70" s="138">
        <f>STDEV(B71:B80)/B69*100</f>
        <v>1.4628472785736256E-14</v>
      </c>
      <c r="C70" s="139" t="e">
        <f>STDEV(C71:C80)/B69*100</f>
        <v>#DIV/0!</v>
      </c>
      <c r="D70" s="140" t="e">
        <f>STDEV(D71:D80)/B69*100</f>
        <v>#DIV/0!</v>
      </c>
      <c r="E70" s="412" t="e">
        <f>STDEV(E71:E80)/B69*100</f>
        <v>#DIV/0!</v>
      </c>
      <c r="F70" s="139" t="e">
        <f>STDEV(F71:F80)/B69*100</f>
        <v>#DIV/0!</v>
      </c>
      <c r="G70" s="140" t="e">
        <f>STDEV(G71:G80)/B69*100</f>
        <v>#DIV/0!</v>
      </c>
      <c r="H70" s="412" t="e">
        <f>STDEV(H71:H80)/B69*100</f>
        <v>#DIV/0!</v>
      </c>
      <c r="I70" s="427">
        <f>0.001*100*STDEV(I71:I80)/$B$69</f>
        <v>0</v>
      </c>
      <c r="J70" s="193">
        <f t="shared" ref="J70:K70" si="56">0.001*100*STDEV(J71:J80)/$B$69</f>
        <v>0</v>
      </c>
      <c r="K70" s="194">
        <f t="shared" si="56"/>
        <v>0</v>
      </c>
      <c r="L70" s="192">
        <f>0.001*100*STDEV(L71:L80)/$B$69</f>
        <v>0</v>
      </c>
      <c r="M70" s="193">
        <f t="shared" ref="M70:N70" si="57">0.001*100*STDEV(M71:M80)/$B$69</f>
        <v>0</v>
      </c>
      <c r="N70" s="194">
        <f t="shared" si="57"/>
        <v>0</v>
      </c>
    </row>
    <row r="71" spans="1:14" ht="14.1" customHeight="1">
      <c r="A71" s="570" t="s">
        <v>128</v>
      </c>
      <c r="B71" s="420">
        <v>0.1</v>
      </c>
      <c r="C71" s="9"/>
      <c r="D71" s="12"/>
      <c r="E71" s="13"/>
      <c r="F71" s="9"/>
      <c r="G71" s="12"/>
      <c r="H71" s="13"/>
      <c r="I71" s="424">
        <f t="shared" ref="I71:I80" si="58">(C71-B71)*1000</f>
        <v>-100</v>
      </c>
      <c r="J71" s="6">
        <f t="shared" ref="J71:J80" si="59">(D71-B71)*1000</f>
        <v>-100</v>
      </c>
      <c r="K71" s="96">
        <f t="shared" ref="K71:K80" si="60">(E71-B71)*1000</f>
        <v>-100</v>
      </c>
      <c r="L71" s="85">
        <f t="shared" ref="L71:L80" si="61">(F71-B71)*1000</f>
        <v>-100</v>
      </c>
      <c r="M71" s="6">
        <f t="shared" ref="M71:M80" si="62">(G71-B71)*1000</f>
        <v>-100</v>
      </c>
      <c r="N71" s="96">
        <f t="shared" ref="N71:N80" si="63">(H71-B71)*1000</f>
        <v>-100</v>
      </c>
    </row>
    <row r="72" spans="1:14" ht="14.1" customHeight="1">
      <c r="A72" s="571"/>
      <c r="B72" s="421">
        <v>0.1</v>
      </c>
      <c r="C72" s="4"/>
      <c r="D72" s="8"/>
      <c r="E72" s="14"/>
      <c r="F72" s="4"/>
      <c r="G72" s="8"/>
      <c r="H72" s="14"/>
      <c r="I72" s="424">
        <f t="shared" si="58"/>
        <v>-100</v>
      </c>
      <c r="J72" s="6">
        <f t="shared" si="59"/>
        <v>-100</v>
      </c>
      <c r="K72" s="96">
        <f t="shared" si="60"/>
        <v>-100</v>
      </c>
      <c r="L72" s="85">
        <f t="shared" si="61"/>
        <v>-100</v>
      </c>
      <c r="M72" s="6">
        <f t="shared" si="62"/>
        <v>-100</v>
      </c>
      <c r="N72" s="96">
        <f t="shared" si="63"/>
        <v>-100</v>
      </c>
    </row>
    <row r="73" spans="1:14" ht="14.1" customHeight="1">
      <c r="A73" s="571"/>
      <c r="B73" s="421">
        <v>0.1</v>
      </c>
      <c r="C73" s="4"/>
      <c r="D73" s="8"/>
      <c r="E73" s="14"/>
      <c r="F73" s="4"/>
      <c r="G73" s="8"/>
      <c r="H73" s="14"/>
      <c r="I73" s="424">
        <f t="shared" si="58"/>
        <v>-100</v>
      </c>
      <c r="J73" s="6">
        <f t="shared" si="59"/>
        <v>-100</v>
      </c>
      <c r="K73" s="96">
        <f t="shared" si="60"/>
        <v>-100</v>
      </c>
      <c r="L73" s="85">
        <f t="shared" si="61"/>
        <v>-100</v>
      </c>
      <c r="M73" s="6">
        <f t="shared" si="62"/>
        <v>-100</v>
      </c>
      <c r="N73" s="96">
        <f t="shared" si="63"/>
        <v>-100</v>
      </c>
    </row>
    <row r="74" spans="1:14" ht="14.1" customHeight="1">
      <c r="A74" s="571"/>
      <c r="B74" s="421">
        <v>0.1</v>
      </c>
      <c r="C74" s="4"/>
      <c r="D74" s="8"/>
      <c r="E74" s="14"/>
      <c r="F74" s="4"/>
      <c r="G74" s="8"/>
      <c r="H74" s="14"/>
      <c r="I74" s="424">
        <f t="shared" si="58"/>
        <v>-100</v>
      </c>
      <c r="J74" s="6">
        <f t="shared" si="59"/>
        <v>-100</v>
      </c>
      <c r="K74" s="96">
        <f t="shared" si="60"/>
        <v>-100</v>
      </c>
      <c r="L74" s="85">
        <f t="shared" si="61"/>
        <v>-100</v>
      </c>
      <c r="M74" s="6">
        <f t="shared" si="62"/>
        <v>-100</v>
      </c>
      <c r="N74" s="96">
        <f t="shared" si="63"/>
        <v>-100</v>
      </c>
    </row>
    <row r="75" spans="1:14" ht="14.1" customHeight="1">
      <c r="A75" s="571"/>
      <c r="B75" s="421">
        <v>0.1</v>
      </c>
      <c r="C75" s="4"/>
      <c r="D75" s="8"/>
      <c r="E75" s="14"/>
      <c r="F75" s="4"/>
      <c r="G75" s="8"/>
      <c r="H75" s="14"/>
      <c r="I75" s="424">
        <f t="shared" si="58"/>
        <v>-100</v>
      </c>
      <c r="J75" s="6">
        <f t="shared" si="59"/>
        <v>-100</v>
      </c>
      <c r="K75" s="96">
        <f t="shared" si="60"/>
        <v>-100</v>
      </c>
      <c r="L75" s="85">
        <f t="shared" si="61"/>
        <v>-100</v>
      </c>
      <c r="M75" s="6">
        <f t="shared" si="62"/>
        <v>-100</v>
      </c>
      <c r="N75" s="96">
        <f t="shared" si="63"/>
        <v>-100</v>
      </c>
    </row>
    <row r="76" spans="1:14" ht="14.1" customHeight="1">
      <c r="A76" s="571"/>
      <c r="B76" s="421">
        <v>0.1</v>
      </c>
      <c r="C76" s="4"/>
      <c r="D76" s="8"/>
      <c r="E76" s="14"/>
      <c r="F76" s="4"/>
      <c r="G76" s="8"/>
      <c r="H76" s="14"/>
      <c r="I76" s="424">
        <f t="shared" si="58"/>
        <v>-100</v>
      </c>
      <c r="J76" s="6">
        <f t="shared" si="59"/>
        <v>-100</v>
      </c>
      <c r="K76" s="96">
        <f t="shared" si="60"/>
        <v>-100</v>
      </c>
      <c r="L76" s="85">
        <f t="shared" si="61"/>
        <v>-100</v>
      </c>
      <c r="M76" s="6">
        <f t="shared" si="62"/>
        <v>-100</v>
      </c>
      <c r="N76" s="96">
        <f t="shared" si="63"/>
        <v>-100</v>
      </c>
    </row>
    <row r="77" spans="1:14" ht="14.1" customHeight="1">
      <c r="A77" s="571"/>
      <c r="B77" s="421">
        <v>0.1</v>
      </c>
      <c r="C77" s="4"/>
      <c r="D77" s="8"/>
      <c r="E77" s="14"/>
      <c r="F77" s="4"/>
      <c r="G77" s="8"/>
      <c r="H77" s="14"/>
      <c r="I77" s="424">
        <f t="shared" si="58"/>
        <v>-100</v>
      </c>
      <c r="J77" s="6">
        <f t="shared" si="59"/>
        <v>-100</v>
      </c>
      <c r="K77" s="96">
        <f t="shared" si="60"/>
        <v>-100</v>
      </c>
      <c r="L77" s="85">
        <f t="shared" si="61"/>
        <v>-100</v>
      </c>
      <c r="M77" s="6">
        <f t="shared" si="62"/>
        <v>-100</v>
      </c>
      <c r="N77" s="96">
        <f t="shared" si="63"/>
        <v>-100</v>
      </c>
    </row>
    <row r="78" spans="1:14" ht="14.1" customHeight="1">
      <c r="A78" s="571"/>
      <c r="B78" s="421">
        <v>0.1</v>
      </c>
      <c r="C78" s="4"/>
      <c r="D78" s="8"/>
      <c r="E78" s="14"/>
      <c r="F78" s="4"/>
      <c r="G78" s="8"/>
      <c r="H78" s="14"/>
      <c r="I78" s="424">
        <f t="shared" si="58"/>
        <v>-100</v>
      </c>
      <c r="J78" s="6">
        <f t="shared" si="59"/>
        <v>-100</v>
      </c>
      <c r="K78" s="96">
        <f t="shared" si="60"/>
        <v>-100</v>
      </c>
      <c r="L78" s="85">
        <f t="shared" si="61"/>
        <v>-100</v>
      </c>
      <c r="M78" s="6">
        <f t="shared" si="62"/>
        <v>-100</v>
      </c>
      <c r="N78" s="96">
        <f t="shared" si="63"/>
        <v>-100</v>
      </c>
    </row>
    <row r="79" spans="1:14" ht="14.1" customHeight="1">
      <c r="A79" s="571"/>
      <c r="B79" s="421">
        <v>0.1</v>
      </c>
      <c r="C79" s="4"/>
      <c r="D79" s="8"/>
      <c r="E79" s="14"/>
      <c r="F79" s="4"/>
      <c r="G79" s="8"/>
      <c r="H79" s="14"/>
      <c r="I79" s="424">
        <f t="shared" si="58"/>
        <v>-100</v>
      </c>
      <c r="J79" s="6">
        <f t="shared" si="59"/>
        <v>-100</v>
      </c>
      <c r="K79" s="96">
        <f t="shared" si="60"/>
        <v>-100</v>
      </c>
      <c r="L79" s="85">
        <f t="shared" si="61"/>
        <v>-100</v>
      </c>
      <c r="M79" s="6">
        <f t="shared" si="62"/>
        <v>-100</v>
      </c>
      <c r="N79" s="96">
        <f t="shared" si="63"/>
        <v>-100</v>
      </c>
    </row>
    <row r="80" spans="1:14" ht="14.1" customHeight="1" thickBot="1">
      <c r="A80" s="572"/>
      <c r="B80" s="422">
        <v>0.1</v>
      </c>
      <c r="C80" s="15"/>
      <c r="D80" s="18"/>
      <c r="E80" s="19"/>
      <c r="F80" s="15"/>
      <c r="G80" s="18"/>
      <c r="H80" s="19"/>
      <c r="I80" s="429">
        <f t="shared" si="58"/>
        <v>-100</v>
      </c>
      <c r="J80" s="17">
        <f t="shared" si="59"/>
        <v>-100</v>
      </c>
      <c r="K80" s="97">
        <f t="shared" si="60"/>
        <v>-100</v>
      </c>
      <c r="L80" s="86">
        <f t="shared" si="61"/>
        <v>-100</v>
      </c>
      <c r="M80" s="17">
        <f t="shared" si="62"/>
        <v>-100</v>
      </c>
      <c r="N80" s="97">
        <f t="shared" si="63"/>
        <v>-100</v>
      </c>
    </row>
    <row r="81" spans="1:14" ht="14.1" customHeight="1">
      <c r="B81" s="415" t="s">
        <v>143</v>
      </c>
      <c r="C81" s="22" t="s">
        <v>144</v>
      </c>
      <c r="D81" s="23" t="s">
        <v>145</v>
      </c>
      <c r="E81" s="24" t="s">
        <v>146</v>
      </c>
      <c r="F81" s="22" t="s">
        <v>144</v>
      </c>
      <c r="G81" s="23" t="s">
        <v>145</v>
      </c>
      <c r="H81" s="24" t="s">
        <v>146</v>
      </c>
      <c r="I81" s="425" t="s">
        <v>140</v>
      </c>
      <c r="J81" s="100" t="s">
        <v>141</v>
      </c>
      <c r="K81" s="101" t="s">
        <v>142</v>
      </c>
      <c r="L81" s="99" t="s">
        <v>140</v>
      </c>
      <c r="M81" s="100" t="s">
        <v>141</v>
      </c>
      <c r="N81" s="101" t="s">
        <v>142</v>
      </c>
    </row>
    <row r="82" spans="1:14" ht="14.1" customHeight="1">
      <c r="B82" s="32">
        <f t="shared" ref="B82" si="64">AVERAGE(B84:B93)</f>
        <v>4.9999999999999996E-2</v>
      </c>
      <c r="C82" s="25" t="e">
        <f t="shared" ref="C82:K82" si="65">AVERAGE(C84:C93)</f>
        <v>#DIV/0!</v>
      </c>
      <c r="D82" s="26" t="e">
        <f t="shared" si="65"/>
        <v>#DIV/0!</v>
      </c>
      <c r="E82" s="27" t="e">
        <f t="shared" si="65"/>
        <v>#DIV/0!</v>
      </c>
      <c r="F82" s="25" t="e">
        <f t="shared" si="65"/>
        <v>#DIV/0!</v>
      </c>
      <c r="G82" s="26" t="e">
        <f t="shared" si="65"/>
        <v>#DIV/0!</v>
      </c>
      <c r="H82" s="27" t="e">
        <f t="shared" si="65"/>
        <v>#DIV/0!</v>
      </c>
      <c r="I82" s="426">
        <f t="shared" si="65"/>
        <v>-50</v>
      </c>
      <c r="J82" s="146">
        <f t="shared" si="65"/>
        <v>-50</v>
      </c>
      <c r="K82" s="147">
        <f t="shared" si="65"/>
        <v>-50</v>
      </c>
      <c r="L82" s="145">
        <f>AVERAGE(L84:L93)</f>
        <v>-50</v>
      </c>
      <c r="M82" s="146">
        <f t="shared" ref="M82:N82" si="66">AVERAGE(M84:M93)</f>
        <v>-50</v>
      </c>
      <c r="N82" s="147">
        <f t="shared" si="66"/>
        <v>-50</v>
      </c>
    </row>
    <row r="83" spans="1:14" s="135" customFormat="1" ht="14.1" customHeight="1" thickBot="1">
      <c r="B83" s="138">
        <f>STDEV(B84:B93)/B82*100</f>
        <v>1.4628472785736256E-14</v>
      </c>
      <c r="C83" s="139" t="e">
        <f>STDEV(C84:C93)/B82*100</f>
        <v>#DIV/0!</v>
      </c>
      <c r="D83" s="140" t="e">
        <f>STDEV(D84:D93)/B82*100</f>
        <v>#DIV/0!</v>
      </c>
      <c r="E83" s="412" t="e">
        <f>STDEV(E84:E93)/B82*100</f>
        <v>#DIV/0!</v>
      </c>
      <c r="F83" s="139" t="e">
        <f>STDEV(F84:F93)/B82*100</f>
        <v>#DIV/0!</v>
      </c>
      <c r="G83" s="140" t="e">
        <f>STDEV(G84:G93)/B82*100</f>
        <v>#DIV/0!</v>
      </c>
      <c r="H83" s="412" t="e">
        <f>STDEV(H84:H93)/B82*100</f>
        <v>#DIV/0!</v>
      </c>
      <c r="I83" s="427">
        <f>0.001*100*STDEV(I84:I93)/$B$82</f>
        <v>0</v>
      </c>
      <c r="J83" s="193">
        <f t="shared" ref="J83:K83" si="67">0.001*100*STDEV(J84:J93)/$B$82</f>
        <v>0</v>
      </c>
      <c r="K83" s="194">
        <f t="shared" si="67"/>
        <v>0</v>
      </c>
      <c r="L83" s="192">
        <f>0.001*100*STDEV(L84:L93)/$B$82</f>
        <v>0</v>
      </c>
      <c r="M83" s="193">
        <f t="shared" ref="M83:N83" si="68">0.001*100*STDEV(M84:M93)/$B$82</f>
        <v>0</v>
      </c>
      <c r="N83" s="194">
        <f t="shared" si="68"/>
        <v>0</v>
      </c>
    </row>
    <row r="84" spans="1:14" ht="14.1" customHeight="1">
      <c r="A84" s="570" t="s">
        <v>129</v>
      </c>
      <c r="B84" s="436">
        <v>0.05</v>
      </c>
      <c r="C84" s="9"/>
      <c r="D84" s="12"/>
      <c r="E84" s="13"/>
      <c r="F84" s="9"/>
      <c r="G84" s="12"/>
      <c r="H84" s="13"/>
      <c r="I84" s="424">
        <f t="shared" ref="I84:I93" si="69">(C84-B84)*1000</f>
        <v>-50</v>
      </c>
      <c r="J84" s="6">
        <f t="shared" ref="J84:J93" si="70">(D84-B84)*1000</f>
        <v>-50</v>
      </c>
      <c r="K84" s="96">
        <f t="shared" ref="K84:K93" si="71">(E84-B84)*1000</f>
        <v>-50</v>
      </c>
      <c r="L84" s="85">
        <f t="shared" ref="L84:L93" si="72">(F84-B84)*1000</f>
        <v>-50</v>
      </c>
      <c r="M84" s="6">
        <f t="shared" ref="M84:M93" si="73">(G84-B84)*1000</f>
        <v>-50</v>
      </c>
      <c r="N84" s="96">
        <f t="shared" ref="N84:N93" si="74">(H84-B84)*1000</f>
        <v>-50</v>
      </c>
    </row>
    <row r="85" spans="1:14" ht="14.1" customHeight="1">
      <c r="A85" s="571"/>
      <c r="B85" s="437">
        <v>0.05</v>
      </c>
      <c r="C85" s="4"/>
      <c r="D85" s="8"/>
      <c r="E85" s="14"/>
      <c r="F85" s="4"/>
      <c r="G85" s="8"/>
      <c r="H85" s="14"/>
      <c r="I85" s="424">
        <f t="shared" si="69"/>
        <v>-50</v>
      </c>
      <c r="J85" s="6">
        <f t="shared" si="70"/>
        <v>-50</v>
      </c>
      <c r="K85" s="96">
        <f t="shared" si="71"/>
        <v>-50</v>
      </c>
      <c r="L85" s="85">
        <f t="shared" si="72"/>
        <v>-50</v>
      </c>
      <c r="M85" s="6">
        <f t="shared" si="73"/>
        <v>-50</v>
      </c>
      <c r="N85" s="96">
        <f t="shared" si="74"/>
        <v>-50</v>
      </c>
    </row>
    <row r="86" spans="1:14" ht="14.1" customHeight="1">
      <c r="A86" s="571"/>
      <c r="B86" s="437">
        <v>0.05</v>
      </c>
      <c r="C86" s="4"/>
      <c r="D86" s="8"/>
      <c r="E86" s="14"/>
      <c r="F86" s="4"/>
      <c r="G86" s="8"/>
      <c r="H86" s="14"/>
      <c r="I86" s="424">
        <f t="shared" si="69"/>
        <v>-50</v>
      </c>
      <c r="J86" s="6">
        <f t="shared" si="70"/>
        <v>-50</v>
      </c>
      <c r="K86" s="96">
        <f t="shared" si="71"/>
        <v>-50</v>
      </c>
      <c r="L86" s="85">
        <f t="shared" si="72"/>
        <v>-50</v>
      </c>
      <c r="M86" s="6">
        <f t="shared" si="73"/>
        <v>-50</v>
      </c>
      <c r="N86" s="96">
        <f t="shared" si="74"/>
        <v>-50</v>
      </c>
    </row>
    <row r="87" spans="1:14" ht="14.1" customHeight="1">
      <c r="A87" s="571"/>
      <c r="B87" s="437">
        <v>0.05</v>
      </c>
      <c r="C87" s="4"/>
      <c r="D87" s="8"/>
      <c r="E87" s="14"/>
      <c r="F87" s="4"/>
      <c r="G87" s="8"/>
      <c r="H87" s="14"/>
      <c r="I87" s="424">
        <f t="shared" si="69"/>
        <v>-50</v>
      </c>
      <c r="J87" s="6">
        <f t="shared" si="70"/>
        <v>-50</v>
      </c>
      <c r="K87" s="96">
        <f t="shared" si="71"/>
        <v>-50</v>
      </c>
      <c r="L87" s="85">
        <f t="shared" si="72"/>
        <v>-50</v>
      </c>
      <c r="M87" s="6">
        <f t="shared" si="73"/>
        <v>-50</v>
      </c>
      <c r="N87" s="96">
        <f t="shared" si="74"/>
        <v>-50</v>
      </c>
    </row>
    <row r="88" spans="1:14" ht="14.1" customHeight="1">
      <c r="A88" s="571"/>
      <c r="B88" s="437">
        <v>0.05</v>
      </c>
      <c r="C88" s="4"/>
      <c r="D88" s="8"/>
      <c r="E88" s="14"/>
      <c r="F88" s="4"/>
      <c r="G88" s="8"/>
      <c r="H88" s="14"/>
      <c r="I88" s="424">
        <f t="shared" si="69"/>
        <v>-50</v>
      </c>
      <c r="J88" s="6">
        <f t="shared" si="70"/>
        <v>-50</v>
      </c>
      <c r="K88" s="96">
        <f t="shared" si="71"/>
        <v>-50</v>
      </c>
      <c r="L88" s="85">
        <f t="shared" si="72"/>
        <v>-50</v>
      </c>
      <c r="M88" s="6">
        <f t="shared" si="73"/>
        <v>-50</v>
      </c>
      <c r="N88" s="96">
        <f t="shared" si="74"/>
        <v>-50</v>
      </c>
    </row>
    <row r="89" spans="1:14" ht="14.1" customHeight="1">
      <c r="A89" s="571"/>
      <c r="B89" s="437">
        <v>0.05</v>
      </c>
      <c r="C89" s="337"/>
      <c r="D89" s="8"/>
      <c r="E89" s="14"/>
      <c r="F89" s="337"/>
      <c r="G89" s="8"/>
      <c r="H89" s="14"/>
      <c r="I89" s="424">
        <f t="shared" si="69"/>
        <v>-50</v>
      </c>
      <c r="J89" s="6">
        <f t="shared" si="70"/>
        <v>-50</v>
      </c>
      <c r="K89" s="96">
        <f t="shared" si="71"/>
        <v>-50</v>
      </c>
      <c r="L89" s="85">
        <f t="shared" si="72"/>
        <v>-50</v>
      </c>
      <c r="M89" s="6">
        <f t="shared" si="73"/>
        <v>-50</v>
      </c>
      <c r="N89" s="96">
        <f t="shared" si="74"/>
        <v>-50</v>
      </c>
    </row>
    <row r="90" spans="1:14" ht="14.1" customHeight="1">
      <c r="A90" s="571"/>
      <c r="B90" s="437">
        <v>0.05</v>
      </c>
      <c r="C90" s="337"/>
      <c r="D90" s="8"/>
      <c r="E90" s="14"/>
      <c r="F90" s="337"/>
      <c r="G90" s="8"/>
      <c r="H90" s="14"/>
      <c r="I90" s="424">
        <f t="shared" si="69"/>
        <v>-50</v>
      </c>
      <c r="J90" s="6">
        <f t="shared" si="70"/>
        <v>-50</v>
      </c>
      <c r="K90" s="96">
        <f t="shared" si="71"/>
        <v>-50</v>
      </c>
      <c r="L90" s="85">
        <f t="shared" si="72"/>
        <v>-50</v>
      </c>
      <c r="M90" s="6">
        <f t="shared" si="73"/>
        <v>-50</v>
      </c>
      <c r="N90" s="96">
        <f t="shared" si="74"/>
        <v>-50</v>
      </c>
    </row>
    <row r="91" spans="1:14" ht="14.1" customHeight="1">
      <c r="A91" s="571"/>
      <c r="B91" s="437">
        <v>0.05</v>
      </c>
      <c r="C91" s="337"/>
      <c r="D91" s="8"/>
      <c r="E91" s="14"/>
      <c r="F91" s="337"/>
      <c r="G91" s="8"/>
      <c r="H91" s="14"/>
      <c r="I91" s="424">
        <f t="shared" si="69"/>
        <v>-50</v>
      </c>
      <c r="J91" s="6">
        <f t="shared" si="70"/>
        <v>-50</v>
      </c>
      <c r="K91" s="96">
        <f t="shared" si="71"/>
        <v>-50</v>
      </c>
      <c r="L91" s="85">
        <f t="shared" si="72"/>
        <v>-50</v>
      </c>
      <c r="M91" s="6">
        <f t="shared" si="73"/>
        <v>-50</v>
      </c>
      <c r="N91" s="96">
        <f t="shared" si="74"/>
        <v>-50</v>
      </c>
    </row>
    <row r="92" spans="1:14" ht="14.1" customHeight="1">
      <c r="A92" s="571"/>
      <c r="B92" s="437">
        <v>0.05</v>
      </c>
      <c r="C92" s="337"/>
      <c r="D92" s="8"/>
      <c r="E92" s="14"/>
      <c r="F92" s="337"/>
      <c r="G92" s="8"/>
      <c r="H92" s="14"/>
      <c r="I92" s="424">
        <f t="shared" si="69"/>
        <v>-50</v>
      </c>
      <c r="J92" s="6">
        <f t="shared" si="70"/>
        <v>-50</v>
      </c>
      <c r="K92" s="96">
        <f t="shared" si="71"/>
        <v>-50</v>
      </c>
      <c r="L92" s="85">
        <f t="shared" si="72"/>
        <v>-50</v>
      </c>
      <c r="M92" s="6">
        <f t="shared" si="73"/>
        <v>-50</v>
      </c>
      <c r="N92" s="96">
        <f t="shared" si="74"/>
        <v>-50</v>
      </c>
    </row>
    <row r="93" spans="1:14" ht="14.1" customHeight="1" thickBot="1">
      <c r="A93" s="572"/>
      <c r="B93" s="438">
        <v>0.05</v>
      </c>
      <c r="C93" s="339"/>
      <c r="D93" s="18"/>
      <c r="E93" s="19"/>
      <c r="F93" s="339"/>
      <c r="G93" s="18"/>
      <c r="H93" s="19"/>
      <c r="I93" s="429">
        <f t="shared" si="69"/>
        <v>-50</v>
      </c>
      <c r="J93" s="17">
        <f t="shared" si="70"/>
        <v>-50</v>
      </c>
      <c r="K93" s="97">
        <f t="shared" si="71"/>
        <v>-50</v>
      </c>
      <c r="L93" s="86">
        <f t="shared" si="72"/>
        <v>-50</v>
      </c>
      <c r="M93" s="17">
        <f t="shared" si="73"/>
        <v>-50</v>
      </c>
      <c r="N93" s="97">
        <f t="shared" si="74"/>
        <v>-50</v>
      </c>
    </row>
  </sheetData>
  <mergeCells count="11">
    <mergeCell ref="C2:E2"/>
    <mergeCell ref="F2:H2"/>
    <mergeCell ref="I2:K2"/>
    <mergeCell ref="L2:N2"/>
    <mergeCell ref="A6:A15"/>
    <mergeCell ref="A71:A80"/>
    <mergeCell ref="A84:A93"/>
    <mergeCell ref="A19:A28"/>
    <mergeCell ref="A32:A41"/>
    <mergeCell ref="A45:A54"/>
    <mergeCell ref="A58:A6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92D050"/>
  </sheetPr>
  <dimension ref="A1:R119"/>
  <sheetViews>
    <sheetView topLeftCell="A82" zoomScale="70" zoomScaleNormal="70" workbookViewId="0">
      <selection activeCell="V13" sqref="V13"/>
    </sheetView>
  </sheetViews>
  <sheetFormatPr defaultColWidth="10.6640625" defaultRowHeight="14.1" customHeight="1"/>
  <cols>
    <col min="1" max="1" width="12.88671875" style="1" bestFit="1" customWidth="1"/>
    <col min="2" max="3" width="10.6640625" style="1"/>
    <col min="4" max="4" width="11.33203125" style="1" customWidth="1"/>
    <col min="5" max="5" width="12.88671875" style="1" customWidth="1"/>
    <col min="6" max="6" width="16.5546875" style="1" customWidth="1"/>
    <col min="7" max="12" width="15.5546875" style="1" customWidth="1"/>
    <col min="13" max="13" width="13" style="102" bestFit="1" customWidth="1"/>
    <col min="14" max="18" width="10.6640625" style="102"/>
    <col min="19" max="16384" width="10.6640625" style="1"/>
  </cols>
  <sheetData>
    <row r="1" spans="1:18" s="33" customFormat="1" ht="22.5" customHeight="1" thickBot="1"/>
    <row r="2" spans="1:18" ht="18.75" customHeight="1" thickBot="1">
      <c r="B2" s="567" t="s">
        <v>1</v>
      </c>
      <c r="C2" s="568"/>
      <c r="D2" s="568"/>
      <c r="E2" s="568"/>
      <c r="F2" s="569"/>
      <c r="G2" s="568" t="s">
        <v>2</v>
      </c>
      <c r="H2" s="568"/>
      <c r="I2" s="568"/>
      <c r="J2" s="567" t="s">
        <v>3</v>
      </c>
      <c r="K2" s="568"/>
      <c r="L2" s="569"/>
      <c r="M2" s="565" t="s">
        <v>138</v>
      </c>
      <c r="N2" s="565"/>
      <c r="O2" s="565"/>
      <c r="P2" s="564" t="s">
        <v>139</v>
      </c>
      <c r="Q2" s="565"/>
      <c r="R2" s="566"/>
    </row>
    <row r="3" spans="1:18" ht="14.1" customHeight="1" thickBot="1">
      <c r="B3" s="28" t="s">
        <v>14</v>
      </c>
      <c r="C3" s="29" t="s">
        <v>143</v>
      </c>
      <c r="D3" s="30" t="s">
        <v>0</v>
      </c>
      <c r="E3" s="31" t="s">
        <v>147</v>
      </c>
      <c r="F3" s="94" t="s">
        <v>148</v>
      </c>
      <c r="G3" s="423" t="s">
        <v>150</v>
      </c>
      <c r="H3" s="23" t="s">
        <v>151</v>
      </c>
      <c r="I3" s="187" t="s">
        <v>152</v>
      </c>
      <c r="J3" s="22" t="s">
        <v>150</v>
      </c>
      <c r="K3" s="23" t="s">
        <v>151</v>
      </c>
      <c r="L3" s="24" t="s">
        <v>152</v>
      </c>
      <c r="M3" s="425" t="s">
        <v>153</v>
      </c>
      <c r="N3" s="100" t="s">
        <v>151</v>
      </c>
      <c r="O3" s="442" t="s">
        <v>152</v>
      </c>
      <c r="P3" s="99" t="s">
        <v>153</v>
      </c>
      <c r="Q3" s="100" t="s">
        <v>151</v>
      </c>
      <c r="R3" s="101" t="s">
        <v>152</v>
      </c>
    </row>
    <row r="4" spans="1:18" ht="14.1" customHeight="1">
      <c r="A4" s="413" t="s">
        <v>40</v>
      </c>
      <c r="B4" s="25">
        <f t="shared" ref="B4:R4" si="0">AVERAGE(B6:B15)</f>
        <v>57.734999999999999</v>
      </c>
      <c r="C4" s="26">
        <f t="shared" si="0"/>
        <v>5</v>
      </c>
      <c r="D4" s="26">
        <f t="shared" si="0"/>
        <v>1</v>
      </c>
      <c r="E4" s="26">
        <f t="shared" si="0"/>
        <v>288.67500000000007</v>
      </c>
      <c r="F4" s="27">
        <f t="shared" si="0"/>
        <v>288.67500000000007</v>
      </c>
      <c r="G4" s="195" t="e">
        <f t="shared" si="0"/>
        <v>#DIV/0!</v>
      </c>
      <c r="H4" s="26" t="e">
        <f t="shared" si="0"/>
        <v>#DIV/0!</v>
      </c>
      <c r="I4" s="32" t="e">
        <f t="shared" si="0"/>
        <v>#DIV/0!</v>
      </c>
      <c r="J4" s="25" t="e">
        <f t="shared" si="0"/>
        <v>#DIV/0!</v>
      </c>
      <c r="K4" s="26" t="e">
        <f t="shared" si="0"/>
        <v>#DIV/0!</v>
      </c>
      <c r="L4" s="27" t="e">
        <f t="shared" si="0"/>
        <v>#DIV/0!</v>
      </c>
      <c r="M4" s="426">
        <f t="shared" si="0"/>
        <v>-288.67500000000007</v>
      </c>
      <c r="N4" s="146">
        <f t="shared" si="0"/>
        <v>-288.67500000000007</v>
      </c>
      <c r="O4" s="443">
        <f>AVERAGE(O6:O15)</f>
        <v>-288.67500000000007</v>
      </c>
      <c r="P4" s="145">
        <f t="shared" si="0"/>
        <v>-288.67500000000007</v>
      </c>
      <c r="Q4" s="146">
        <f>AVERAGE(Q6:Q15)</f>
        <v>-288.67500000000007</v>
      </c>
      <c r="R4" s="147">
        <f t="shared" si="0"/>
        <v>-288.67500000000007</v>
      </c>
    </row>
    <row r="5" spans="1:18" s="135" customFormat="1" ht="14.1" customHeight="1" thickBot="1">
      <c r="A5" s="414" t="s">
        <v>41</v>
      </c>
      <c r="B5" s="136">
        <f>STDEV(B6:B15)/B4*100</f>
        <v>0</v>
      </c>
      <c r="C5" s="137">
        <f>STDEV(C6:C15)/C4*100</f>
        <v>0</v>
      </c>
      <c r="D5" s="137">
        <f>STDEV(D6:D15)/D4*100</f>
        <v>0</v>
      </c>
      <c r="E5" s="137">
        <f>STDEV(E6:E15)/F4*100</f>
        <v>2.0756291514809279E-14</v>
      </c>
      <c r="F5" s="148">
        <f>STDEV(F6:F15)/F4*100</f>
        <v>2.0756291514809279E-14</v>
      </c>
      <c r="G5" s="445" t="e">
        <f>STDEV(G6:G15)/F4*100</f>
        <v>#DIV/0!</v>
      </c>
      <c r="H5" s="141" t="e">
        <f>STDEV(H6:H15)/F4*100</f>
        <v>#DIV/0!</v>
      </c>
      <c r="I5" s="188" t="e">
        <f>STDEV(I6:I15)/F4*100</f>
        <v>#DIV/0!</v>
      </c>
      <c r="J5" s="448" t="e">
        <f>STDEV(J6:J15)/F4*100</f>
        <v>#DIV/0!</v>
      </c>
      <c r="K5" s="141" t="e">
        <f>STDEV(K6:K15)/F4*100</f>
        <v>#DIV/0!</v>
      </c>
      <c r="L5" s="142" t="e">
        <f>STDEV(L6:L15)/F4*100</f>
        <v>#DIV/0!</v>
      </c>
      <c r="M5" s="427">
        <f>100*STDEV(M6:M15)/$F$4</f>
        <v>2.0756291514809279E-14</v>
      </c>
      <c r="N5" s="193">
        <f>100*STDEV(N6:N15)/$F$4</f>
        <v>2.0756291514809279E-14</v>
      </c>
      <c r="O5" s="444">
        <f t="shared" ref="O5" si="1">100*STDEV(O6:O15)/$F$4</f>
        <v>2.0756291514809279E-14</v>
      </c>
      <c r="P5" s="192">
        <f>100*STDEV(P6:P15)/$F$4</f>
        <v>2.0756291514809279E-14</v>
      </c>
      <c r="Q5" s="193">
        <f t="shared" ref="Q5:R5" si="2">100*STDEV(Q6:Q15)/$F$4</f>
        <v>2.0756291514809279E-14</v>
      </c>
      <c r="R5" s="194">
        <f t="shared" si="2"/>
        <v>2.0756291514809279E-14</v>
      </c>
    </row>
    <row r="6" spans="1:18" ht="14.1" customHeight="1">
      <c r="A6" s="560" t="s">
        <v>25</v>
      </c>
      <c r="B6" s="9">
        <v>57.734999999999999</v>
      </c>
      <c r="C6" s="10">
        <v>5</v>
      </c>
      <c r="D6" s="10">
        <v>1</v>
      </c>
      <c r="E6" s="3">
        <f>B6*C6*D6</f>
        <v>288.67500000000001</v>
      </c>
      <c r="F6" s="95">
        <f>B6*C6</f>
        <v>288.67500000000001</v>
      </c>
      <c r="G6" s="446"/>
      <c r="H6" s="133"/>
      <c r="I6" s="419"/>
      <c r="J6" s="449"/>
      <c r="K6" s="12"/>
      <c r="L6" s="13"/>
      <c r="M6" s="428">
        <f t="shared" ref="M6:M15" si="3">(G6-E6)</f>
        <v>-288.67500000000001</v>
      </c>
      <c r="N6" s="132">
        <f t="shared" ref="N6:N15" si="4">(H6-E6)</f>
        <v>-288.67500000000001</v>
      </c>
      <c r="O6" s="190">
        <f t="shared" ref="O6:O15" si="5">(I6-E6)</f>
        <v>-288.67500000000001</v>
      </c>
      <c r="P6" s="189">
        <f t="shared" ref="P6:P15" si="6">(J6-E6)</f>
        <v>-288.67500000000001</v>
      </c>
      <c r="Q6" s="132">
        <f t="shared" ref="Q6:Q15" si="7">(K6-E6)</f>
        <v>-288.67500000000001</v>
      </c>
      <c r="R6" s="191">
        <f t="shared" ref="R6:R15" si="8">(L6-E6)</f>
        <v>-288.67500000000001</v>
      </c>
    </row>
    <row r="7" spans="1:18" ht="14.1" customHeight="1">
      <c r="A7" s="560"/>
      <c r="B7" s="85">
        <v>57.734999999999999</v>
      </c>
      <c r="C7" s="36">
        <v>5</v>
      </c>
      <c r="D7" s="36">
        <v>1</v>
      </c>
      <c r="E7" s="6">
        <f t="shared" ref="E7:E10" si="9">B7*C7*D7</f>
        <v>288.67500000000001</v>
      </c>
      <c r="F7" s="96">
        <f t="shared" ref="F7:F10" si="10">B7*C7</f>
        <v>288.67500000000001</v>
      </c>
      <c r="G7" s="338"/>
      <c r="H7" s="8"/>
      <c r="I7" s="92"/>
      <c r="J7" s="337"/>
      <c r="K7" s="8"/>
      <c r="L7" s="14"/>
      <c r="M7" s="424">
        <f t="shared" si="3"/>
        <v>-288.67500000000001</v>
      </c>
      <c r="N7" s="6">
        <f t="shared" si="4"/>
        <v>-288.67500000000001</v>
      </c>
      <c r="O7" s="143">
        <f t="shared" si="5"/>
        <v>-288.67500000000001</v>
      </c>
      <c r="P7" s="85">
        <f t="shared" si="6"/>
        <v>-288.67500000000001</v>
      </c>
      <c r="Q7" s="6">
        <f t="shared" si="7"/>
        <v>-288.67500000000001</v>
      </c>
      <c r="R7" s="96">
        <f t="shared" si="8"/>
        <v>-288.67500000000001</v>
      </c>
    </row>
    <row r="8" spans="1:18" ht="14.1" customHeight="1">
      <c r="A8" s="560"/>
      <c r="B8" s="85">
        <v>57.734999999999999</v>
      </c>
      <c r="C8" s="36">
        <v>5</v>
      </c>
      <c r="D8" s="36">
        <v>1</v>
      </c>
      <c r="E8" s="6">
        <f t="shared" si="9"/>
        <v>288.67500000000001</v>
      </c>
      <c r="F8" s="96">
        <f t="shared" si="10"/>
        <v>288.67500000000001</v>
      </c>
      <c r="G8" s="338"/>
      <c r="H8" s="8"/>
      <c r="I8" s="92"/>
      <c r="J8" s="337"/>
      <c r="K8" s="8"/>
      <c r="L8" s="14"/>
      <c r="M8" s="424">
        <f t="shared" si="3"/>
        <v>-288.67500000000001</v>
      </c>
      <c r="N8" s="6">
        <f t="shared" si="4"/>
        <v>-288.67500000000001</v>
      </c>
      <c r="O8" s="143">
        <f t="shared" si="5"/>
        <v>-288.67500000000001</v>
      </c>
      <c r="P8" s="85">
        <f t="shared" si="6"/>
        <v>-288.67500000000001</v>
      </c>
      <c r="Q8" s="6">
        <f t="shared" si="7"/>
        <v>-288.67500000000001</v>
      </c>
      <c r="R8" s="96">
        <f t="shared" si="8"/>
        <v>-288.67500000000001</v>
      </c>
    </row>
    <row r="9" spans="1:18" ht="14.1" customHeight="1">
      <c r="A9" s="560"/>
      <c r="B9" s="85">
        <v>57.734999999999999</v>
      </c>
      <c r="C9" s="36">
        <v>5</v>
      </c>
      <c r="D9" s="36">
        <v>1</v>
      </c>
      <c r="E9" s="6">
        <f t="shared" si="9"/>
        <v>288.67500000000001</v>
      </c>
      <c r="F9" s="96">
        <f t="shared" si="10"/>
        <v>288.67500000000001</v>
      </c>
      <c r="G9" s="338"/>
      <c r="H9" s="8"/>
      <c r="I9" s="92"/>
      <c r="J9" s="337"/>
      <c r="K9" s="8"/>
      <c r="L9" s="14"/>
      <c r="M9" s="424">
        <f t="shared" si="3"/>
        <v>-288.67500000000001</v>
      </c>
      <c r="N9" s="6">
        <f t="shared" si="4"/>
        <v>-288.67500000000001</v>
      </c>
      <c r="O9" s="143">
        <f t="shared" si="5"/>
        <v>-288.67500000000001</v>
      </c>
      <c r="P9" s="85">
        <f t="shared" si="6"/>
        <v>-288.67500000000001</v>
      </c>
      <c r="Q9" s="6">
        <f t="shared" si="7"/>
        <v>-288.67500000000001</v>
      </c>
      <c r="R9" s="96">
        <f t="shared" si="8"/>
        <v>-288.67500000000001</v>
      </c>
    </row>
    <row r="10" spans="1:18" ht="14.1" customHeight="1">
      <c r="A10" s="560"/>
      <c r="B10" s="85">
        <v>57.734999999999999</v>
      </c>
      <c r="C10" s="36">
        <v>5</v>
      </c>
      <c r="D10" s="36">
        <v>1</v>
      </c>
      <c r="E10" s="6">
        <f t="shared" si="9"/>
        <v>288.67500000000001</v>
      </c>
      <c r="F10" s="96">
        <f t="shared" si="10"/>
        <v>288.67500000000001</v>
      </c>
      <c r="G10" s="338"/>
      <c r="H10" s="8"/>
      <c r="I10" s="92"/>
      <c r="J10" s="337"/>
      <c r="K10" s="8"/>
      <c r="L10" s="14"/>
      <c r="M10" s="424">
        <f t="shared" si="3"/>
        <v>-288.67500000000001</v>
      </c>
      <c r="N10" s="6">
        <f t="shared" si="4"/>
        <v>-288.67500000000001</v>
      </c>
      <c r="O10" s="143">
        <f t="shared" si="5"/>
        <v>-288.67500000000001</v>
      </c>
      <c r="P10" s="85">
        <f t="shared" si="6"/>
        <v>-288.67500000000001</v>
      </c>
      <c r="Q10" s="6">
        <f t="shared" si="7"/>
        <v>-288.67500000000001</v>
      </c>
      <c r="R10" s="96">
        <f t="shared" si="8"/>
        <v>-288.67500000000001</v>
      </c>
    </row>
    <row r="11" spans="1:18" ht="14.1" customHeight="1">
      <c r="A11" s="560"/>
      <c r="B11" s="85">
        <v>57.734999999999999</v>
      </c>
      <c r="C11" s="36">
        <v>5</v>
      </c>
      <c r="D11" s="36">
        <v>1</v>
      </c>
      <c r="E11" s="6">
        <f>B11*C11*D11</f>
        <v>288.67500000000001</v>
      </c>
      <c r="F11" s="96">
        <f>B11*C11</f>
        <v>288.67500000000001</v>
      </c>
      <c r="G11" s="338"/>
      <c r="H11" s="8"/>
      <c r="I11" s="92"/>
      <c r="J11" s="337"/>
      <c r="K11" s="8"/>
      <c r="L11" s="14"/>
      <c r="M11" s="424">
        <f t="shared" si="3"/>
        <v>-288.67500000000001</v>
      </c>
      <c r="N11" s="6">
        <f t="shared" si="4"/>
        <v>-288.67500000000001</v>
      </c>
      <c r="O11" s="143">
        <f t="shared" si="5"/>
        <v>-288.67500000000001</v>
      </c>
      <c r="P11" s="85">
        <f t="shared" si="6"/>
        <v>-288.67500000000001</v>
      </c>
      <c r="Q11" s="6">
        <f t="shared" si="7"/>
        <v>-288.67500000000001</v>
      </c>
      <c r="R11" s="96">
        <f t="shared" si="8"/>
        <v>-288.67500000000001</v>
      </c>
    </row>
    <row r="12" spans="1:18" ht="14.1" customHeight="1">
      <c r="A12" s="560"/>
      <c r="B12" s="85">
        <v>57.734999999999999</v>
      </c>
      <c r="C12" s="36">
        <v>5</v>
      </c>
      <c r="D12" s="36">
        <v>1</v>
      </c>
      <c r="E12" s="6">
        <f t="shared" ref="E12:E15" si="11">B12*C12*D12</f>
        <v>288.67500000000001</v>
      </c>
      <c r="F12" s="96">
        <f t="shared" ref="F12:F15" si="12">B12*C12</f>
        <v>288.67500000000001</v>
      </c>
      <c r="G12" s="338"/>
      <c r="H12" s="8"/>
      <c r="I12" s="92"/>
      <c r="J12" s="337"/>
      <c r="K12" s="8"/>
      <c r="L12" s="14"/>
      <c r="M12" s="424">
        <f t="shared" si="3"/>
        <v>-288.67500000000001</v>
      </c>
      <c r="N12" s="6">
        <f t="shared" si="4"/>
        <v>-288.67500000000001</v>
      </c>
      <c r="O12" s="143">
        <f t="shared" si="5"/>
        <v>-288.67500000000001</v>
      </c>
      <c r="P12" s="85">
        <f t="shared" si="6"/>
        <v>-288.67500000000001</v>
      </c>
      <c r="Q12" s="6">
        <f t="shared" si="7"/>
        <v>-288.67500000000001</v>
      </c>
      <c r="R12" s="96">
        <f t="shared" si="8"/>
        <v>-288.67500000000001</v>
      </c>
    </row>
    <row r="13" spans="1:18" ht="14.1" customHeight="1">
      <c r="A13" s="560"/>
      <c r="B13" s="85">
        <v>57.734999999999999</v>
      </c>
      <c r="C13" s="36">
        <v>5</v>
      </c>
      <c r="D13" s="36">
        <v>1</v>
      </c>
      <c r="E13" s="6">
        <f t="shared" si="11"/>
        <v>288.67500000000001</v>
      </c>
      <c r="F13" s="96">
        <f t="shared" si="12"/>
        <v>288.67500000000001</v>
      </c>
      <c r="G13" s="338"/>
      <c r="H13" s="8"/>
      <c r="I13" s="92"/>
      <c r="J13" s="337"/>
      <c r="K13" s="8"/>
      <c r="L13" s="14"/>
      <c r="M13" s="424">
        <f t="shared" si="3"/>
        <v>-288.67500000000001</v>
      </c>
      <c r="N13" s="6">
        <f t="shared" si="4"/>
        <v>-288.67500000000001</v>
      </c>
      <c r="O13" s="143">
        <f t="shared" si="5"/>
        <v>-288.67500000000001</v>
      </c>
      <c r="P13" s="85">
        <f t="shared" si="6"/>
        <v>-288.67500000000001</v>
      </c>
      <c r="Q13" s="6">
        <f t="shared" si="7"/>
        <v>-288.67500000000001</v>
      </c>
      <c r="R13" s="96">
        <f t="shared" si="8"/>
        <v>-288.67500000000001</v>
      </c>
    </row>
    <row r="14" spans="1:18" ht="14.1" customHeight="1">
      <c r="A14" s="560"/>
      <c r="B14" s="85">
        <v>57.734999999999999</v>
      </c>
      <c r="C14" s="36">
        <v>5</v>
      </c>
      <c r="D14" s="36">
        <v>1</v>
      </c>
      <c r="E14" s="6">
        <f t="shared" si="11"/>
        <v>288.67500000000001</v>
      </c>
      <c r="F14" s="96">
        <f t="shared" si="12"/>
        <v>288.67500000000001</v>
      </c>
      <c r="G14" s="338"/>
      <c r="H14" s="8"/>
      <c r="I14" s="92"/>
      <c r="J14" s="337"/>
      <c r="K14" s="8"/>
      <c r="L14" s="14"/>
      <c r="M14" s="424">
        <f t="shared" si="3"/>
        <v>-288.67500000000001</v>
      </c>
      <c r="N14" s="6">
        <f t="shared" si="4"/>
        <v>-288.67500000000001</v>
      </c>
      <c r="O14" s="143">
        <f t="shared" si="5"/>
        <v>-288.67500000000001</v>
      </c>
      <c r="P14" s="85">
        <f t="shared" si="6"/>
        <v>-288.67500000000001</v>
      </c>
      <c r="Q14" s="6">
        <f t="shared" si="7"/>
        <v>-288.67500000000001</v>
      </c>
      <c r="R14" s="96">
        <f t="shared" si="8"/>
        <v>-288.67500000000001</v>
      </c>
    </row>
    <row r="15" spans="1:18" ht="14.1" customHeight="1" thickBot="1">
      <c r="A15" s="561"/>
      <c r="B15" s="86">
        <v>57.734999999999999</v>
      </c>
      <c r="C15" s="87">
        <v>5</v>
      </c>
      <c r="D15" s="87">
        <v>1</v>
      </c>
      <c r="E15" s="17">
        <f t="shared" si="11"/>
        <v>288.67500000000001</v>
      </c>
      <c r="F15" s="97">
        <f t="shared" si="12"/>
        <v>288.67500000000001</v>
      </c>
      <c r="G15" s="340"/>
      <c r="H15" s="18"/>
      <c r="I15" s="93"/>
      <c r="J15" s="339"/>
      <c r="K15" s="18"/>
      <c r="L15" s="19"/>
      <c r="M15" s="429">
        <f t="shared" si="3"/>
        <v>-288.67500000000001</v>
      </c>
      <c r="N15" s="17">
        <f t="shared" si="4"/>
        <v>-288.67500000000001</v>
      </c>
      <c r="O15" s="144">
        <f t="shared" si="5"/>
        <v>-288.67500000000001</v>
      </c>
      <c r="P15" s="86">
        <f t="shared" si="6"/>
        <v>-288.67500000000001</v>
      </c>
      <c r="Q15" s="17">
        <f t="shared" si="7"/>
        <v>-288.67500000000001</v>
      </c>
      <c r="R15" s="97">
        <f t="shared" si="8"/>
        <v>-288.67500000000001</v>
      </c>
    </row>
    <row r="16" spans="1:18" ht="14.1" customHeight="1">
      <c r="B16" s="28" t="s">
        <v>14</v>
      </c>
      <c r="C16" s="29" t="s">
        <v>143</v>
      </c>
      <c r="D16" s="30" t="s">
        <v>0</v>
      </c>
      <c r="E16" s="31" t="s">
        <v>147</v>
      </c>
      <c r="F16" s="94" t="s">
        <v>148</v>
      </c>
      <c r="G16" s="423" t="s">
        <v>150</v>
      </c>
      <c r="H16" s="23" t="s">
        <v>151</v>
      </c>
      <c r="I16" s="187" t="s">
        <v>152</v>
      </c>
      <c r="J16" s="22" t="s">
        <v>150</v>
      </c>
      <c r="K16" s="23" t="s">
        <v>151</v>
      </c>
      <c r="L16" s="24" t="s">
        <v>152</v>
      </c>
      <c r="M16" s="425" t="s">
        <v>153</v>
      </c>
      <c r="N16" s="100" t="s">
        <v>151</v>
      </c>
      <c r="O16" s="442" t="s">
        <v>152</v>
      </c>
      <c r="P16" s="99" t="s">
        <v>153</v>
      </c>
      <c r="Q16" s="100" t="s">
        <v>151</v>
      </c>
      <c r="R16" s="101" t="s">
        <v>152</v>
      </c>
    </row>
    <row r="17" spans="1:18" ht="14.1" customHeight="1">
      <c r="B17" s="25">
        <f t="shared" ref="B17:F17" si="13">AVERAGE(B19:B28)</f>
        <v>57.734999999999999</v>
      </c>
      <c r="C17" s="26">
        <f t="shared" si="13"/>
        <v>5</v>
      </c>
      <c r="D17" s="26">
        <f t="shared" si="13"/>
        <v>0.5</v>
      </c>
      <c r="E17" s="26">
        <f t="shared" si="13"/>
        <v>144.33750000000003</v>
      </c>
      <c r="F17" s="27">
        <f t="shared" si="13"/>
        <v>288.67500000000007</v>
      </c>
      <c r="G17" s="195" t="e">
        <f t="shared" ref="G17:N17" si="14">AVERAGE(G19:G28)</f>
        <v>#DIV/0!</v>
      </c>
      <c r="H17" s="26" t="e">
        <f t="shared" si="14"/>
        <v>#DIV/0!</v>
      </c>
      <c r="I17" s="32" t="e">
        <f t="shared" si="14"/>
        <v>#DIV/0!</v>
      </c>
      <c r="J17" s="25" t="e">
        <f t="shared" si="14"/>
        <v>#DIV/0!</v>
      </c>
      <c r="K17" s="26" t="e">
        <f t="shared" si="14"/>
        <v>#DIV/0!</v>
      </c>
      <c r="L17" s="27" t="e">
        <f t="shared" si="14"/>
        <v>#DIV/0!</v>
      </c>
      <c r="M17" s="426">
        <f t="shared" si="14"/>
        <v>-144.33750000000003</v>
      </c>
      <c r="N17" s="146">
        <f t="shared" si="14"/>
        <v>-144.33750000000003</v>
      </c>
      <c r="O17" s="443">
        <f>AVERAGE(O19:O28)</f>
        <v>-144.33750000000003</v>
      </c>
      <c r="P17" s="145">
        <f t="shared" ref="P17" si="15">AVERAGE(P19:P28)</f>
        <v>-144.33750000000003</v>
      </c>
      <c r="Q17" s="146">
        <f>AVERAGE(Q19:Q28)</f>
        <v>-144.33750000000003</v>
      </c>
      <c r="R17" s="147">
        <f t="shared" ref="R17" si="16">AVERAGE(R19:R28)</f>
        <v>-144.33750000000003</v>
      </c>
    </row>
    <row r="18" spans="1:18" s="135" customFormat="1" ht="14.1" customHeight="1" thickBot="1">
      <c r="B18" s="136">
        <f>STDEV(B19:B28)/B17*100</f>
        <v>0</v>
      </c>
      <c r="C18" s="137">
        <f>STDEV(C19:C28)/C17*100</f>
        <v>0</v>
      </c>
      <c r="D18" s="140">
        <f>STDEV(D19:D28)/D17*100</f>
        <v>0</v>
      </c>
      <c r="E18" s="137">
        <f>STDEV(E19:E28)/F17*100</f>
        <v>1.037814575740464E-14</v>
      </c>
      <c r="F18" s="148">
        <f>STDEV(F19:F28)/F17*100</f>
        <v>2.0756291514809279E-14</v>
      </c>
      <c r="G18" s="445" t="e">
        <f>STDEV(G19:G28)/F17*100</f>
        <v>#DIV/0!</v>
      </c>
      <c r="H18" s="141" t="e">
        <f>STDEV(H19:H28)/F17*100</f>
        <v>#DIV/0!</v>
      </c>
      <c r="I18" s="188" t="e">
        <f>STDEV(I19:I28)/F17*100</f>
        <v>#DIV/0!</v>
      </c>
      <c r="J18" s="448" t="e">
        <f>STDEV(J19:J28)/F17*100</f>
        <v>#DIV/0!</v>
      </c>
      <c r="K18" s="141" t="e">
        <f>STDEV(K19:K28)/F17*100</f>
        <v>#DIV/0!</v>
      </c>
      <c r="L18" s="142" t="e">
        <f>STDEV(L19:L28)/F17*100</f>
        <v>#DIV/0!</v>
      </c>
      <c r="M18" s="427">
        <f>100*STDEV(M19:M28)/$F$17</f>
        <v>1.037814575740464E-14</v>
      </c>
      <c r="N18" s="193">
        <f t="shared" ref="N18:O18" si="17">100*STDEV(N19:N28)/$F$17</f>
        <v>1.037814575740464E-14</v>
      </c>
      <c r="O18" s="444">
        <f t="shared" si="17"/>
        <v>1.037814575740464E-14</v>
      </c>
      <c r="P18" s="192">
        <f>100*STDEV(P19:P28)/$F$17</f>
        <v>1.037814575740464E-14</v>
      </c>
      <c r="Q18" s="193">
        <f t="shared" ref="Q18:R18" si="18">100*STDEV(Q19:Q28)/$F$17</f>
        <v>1.037814575740464E-14</v>
      </c>
      <c r="R18" s="194">
        <f t="shared" si="18"/>
        <v>1.037814575740464E-14</v>
      </c>
    </row>
    <row r="19" spans="1:18" ht="14.1" customHeight="1">
      <c r="A19" s="559" t="s">
        <v>26</v>
      </c>
      <c r="B19" s="9">
        <v>57.734999999999999</v>
      </c>
      <c r="C19" s="10">
        <v>5</v>
      </c>
      <c r="D19" s="20">
        <v>0.5</v>
      </c>
      <c r="E19" s="3">
        <f>B19*C19*D19</f>
        <v>144.33750000000001</v>
      </c>
      <c r="F19" s="95">
        <f>B19*C19</f>
        <v>288.67500000000001</v>
      </c>
      <c r="G19" s="447"/>
      <c r="H19" s="12"/>
      <c r="I19" s="91"/>
      <c r="J19" s="449"/>
      <c r="K19" s="12"/>
      <c r="L19" s="13"/>
      <c r="M19" s="428">
        <f t="shared" ref="M19:M28" si="19">(G19-E19)</f>
        <v>-144.33750000000001</v>
      </c>
      <c r="N19" s="132">
        <f t="shared" ref="N19:N28" si="20">(H19-E19)</f>
        <v>-144.33750000000001</v>
      </c>
      <c r="O19" s="190">
        <f t="shared" ref="O19:O28" si="21">(I19-E19)</f>
        <v>-144.33750000000001</v>
      </c>
      <c r="P19" s="189">
        <f t="shared" ref="P19:P28" si="22">(J19-E19)</f>
        <v>-144.33750000000001</v>
      </c>
      <c r="Q19" s="132">
        <f t="shared" ref="Q19:Q28" si="23">(K19-E19)</f>
        <v>-144.33750000000001</v>
      </c>
      <c r="R19" s="191">
        <f t="shared" ref="R19:R28" si="24">(L19-E19)</f>
        <v>-144.33750000000001</v>
      </c>
    </row>
    <row r="20" spans="1:18" ht="14.1" customHeight="1">
      <c r="A20" s="560"/>
      <c r="B20" s="85">
        <v>57.734999999999999</v>
      </c>
      <c r="C20" s="36">
        <v>5</v>
      </c>
      <c r="D20" s="7">
        <v>0.5</v>
      </c>
      <c r="E20" s="6">
        <f t="shared" ref="E20:E23" si="25">B20*C20*D20</f>
        <v>144.33750000000001</v>
      </c>
      <c r="F20" s="96">
        <f t="shared" ref="F20:F23" si="26">B20*C20</f>
        <v>288.67500000000001</v>
      </c>
      <c r="G20" s="338"/>
      <c r="H20" s="8"/>
      <c r="I20" s="92"/>
      <c r="J20" s="337"/>
      <c r="K20" s="8"/>
      <c r="L20" s="14"/>
      <c r="M20" s="424">
        <f t="shared" si="19"/>
        <v>-144.33750000000001</v>
      </c>
      <c r="N20" s="6">
        <f t="shared" si="20"/>
        <v>-144.33750000000001</v>
      </c>
      <c r="O20" s="143">
        <f t="shared" si="21"/>
        <v>-144.33750000000001</v>
      </c>
      <c r="P20" s="85">
        <f t="shared" si="22"/>
        <v>-144.33750000000001</v>
      </c>
      <c r="Q20" s="6">
        <f t="shared" si="23"/>
        <v>-144.33750000000001</v>
      </c>
      <c r="R20" s="96">
        <f t="shared" si="24"/>
        <v>-144.33750000000001</v>
      </c>
    </row>
    <row r="21" spans="1:18" ht="14.1" customHeight="1">
      <c r="A21" s="560"/>
      <c r="B21" s="85">
        <v>57.734999999999999</v>
      </c>
      <c r="C21" s="36">
        <v>5</v>
      </c>
      <c r="D21" s="7">
        <v>0.5</v>
      </c>
      <c r="E21" s="6">
        <f t="shared" si="25"/>
        <v>144.33750000000001</v>
      </c>
      <c r="F21" s="96">
        <f t="shared" si="26"/>
        <v>288.67500000000001</v>
      </c>
      <c r="G21" s="338"/>
      <c r="H21" s="8"/>
      <c r="I21" s="92"/>
      <c r="J21" s="337"/>
      <c r="K21" s="8"/>
      <c r="L21" s="14"/>
      <c r="M21" s="424">
        <f t="shared" si="19"/>
        <v>-144.33750000000001</v>
      </c>
      <c r="N21" s="6">
        <f t="shared" si="20"/>
        <v>-144.33750000000001</v>
      </c>
      <c r="O21" s="143">
        <f t="shared" si="21"/>
        <v>-144.33750000000001</v>
      </c>
      <c r="P21" s="85">
        <f t="shared" si="22"/>
        <v>-144.33750000000001</v>
      </c>
      <c r="Q21" s="6">
        <f t="shared" si="23"/>
        <v>-144.33750000000001</v>
      </c>
      <c r="R21" s="96">
        <f t="shared" si="24"/>
        <v>-144.33750000000001</v>
      </c>
    </row>
    <row r="22" spans="1:18" ht="14.1" customHeight="1">
      <c r="A22" s="560"/>
      <c r="B22" s="85">
        <v>57.734999999999999</v>
      </c>
      <c r="C22" s="36">
        <v>5</v>
      </c>
      <c r="D22" s="7">
        <v>0.5</v>
      </c>
      <c r="E22" s="6">
        <f t="shared" si="25"/>
        <v>144.33750000000001</v>
      </c>
      <c r="F22" s="96">
        <f t="shared" si="26"/>
        <v>288.67500000000001</v>
      </c>
      <c r="G22" s="338"/>
      <c r="H22" s="8"/>
      <c r="I22" s="92"/>
      <c r="J22" s="337"/>
      <c r="K22" s="8"/>
      <c r="L22" s="14"/>
      <c r="M22" s="424">
        <f t="shared" si="19"/>
        <v>-144.33750000000001</v>
      </c>
      <c r="N22" s="6">
        <f t="shared" si="20"/>
        <v>-144.33750000000001</v>
      </c>
      <c r="O22" s="143">
        <f t="shared" si="21"/>
        <v>-144.33750000000001</v>
      </c>
      <c r="P22" s="85">
        <f t="shared" si="22"/>
        <v>-144.33750000000001</v>
      </c>
      <c r="Q22" s="6">
        <f t="shared" si="23"/>
        <v>-144.33750000000001</v>
      </c>
      <c r="R22" s="96">
        <f t="shared" si="24"/>
        <v>-144.33750000000001</v>
      </c>
    </row>
    <row r="23" spans="1:18" ht="14.1" customHeight="1">
      <c r="A23" s="560"/>
      <c r="B23" s="85">
        <v>57.734999999999999</v>
      </c>
      <c r="C23" s="36">
        <v>5</v>
      </c>
      <c r="D23" s="7">
        <v>0.5</v>
      </c>
      <c r="E23" s="6">
        <f t="shared" si="25"/>
        <v>144.33750000000001</v>
      </c>
      <c r="F23" s="96">
        <f t="shared" si="26"/>
        <v>288.67500000000001</v>
      </c>
      <c r="G23" s="338"/>
      <c r="H23" s="8"/>
      <c r="I23" s="92"/>
      <c r="J23" s="337"/>
      <c r="K23" s="8"/>
      <c r="L23" s="14"/>
      <c r="M23" s="424">
        <f t="shared" si="19"/>
        <v>-144.33750000000001</v>
      </c>
      <c r="N23" s="6">
        <f t="shared" si="20"/>
        <v>-144.33750000000001</v>
      </c>
      <c r="O23" s="143">
        <f t="shared" si="21"/>
        <v>-144.33750000000001</v>
      </c>
      <c r="P23" s="85">
        <f t="shared" si="22"/>
        <v>-144.33750000000001</v>
      </c>
      <c r="Q23" s="6">
        <f t="shared" si="23"/>
        <v>-144.33750000000001</v>
      </c>
      <c r="R23" s="96">
        <f t="shared" si="24"/>
        <v>-144.33750000000001</v>
      </c>
    </row>
    <row r="24" spans="1:18" ht="14.1" customHeight="1">
      <c r="A24" s="560"/>
      <c r="B24" s="85">
        <v>57.734999999999999</v>
      </c>
      <c r="C24" s="36">
        <v>5</v>
      </c>
      <c r="D24" s="7">
        <v>0.5</v>
      </c>
      <c r="E24" s="6">
        <f>B24*C24*D24</f>
        <v>144.33750000000001</v>
      </c>
      <c r="F24" s="96">
        <f>B24*C24</f>
        <v>288.67500000000001</v>
      </c>
      <c r="G24" s="338"/>
      <c r="H24" s="8"/>
      <c r="I24" s="92"/>
      <c r="J24" s="337"/>
      <c r="K24" s="8"/>
      <c r="L24" s="14"/>
      <c r="M24" s="424">
        <f t="shared" si="19"/>
        <v>-144.33750000000001</v>
      </c>
      <c r="N24" s="6">
        <f t="shared" si="20"/>
        <v>-144.33750000000001</v>
      </c>
      <c r="O24" s="143">
        <f t="shared" si="21"/>
        <v>-144.33750000000001</v>
      </c>
      <c r="P24" s="85">
        <f t="shared" si="22"/>
        <v>-144.33750000000001</v>
      </c>
      <c r="Q24" s="6">
        <f t="shared" si="23"/>
        <v>-144.33750000000001</v>
      </c>
      <c r="R24" s="96">
        <f t="shared" si="24"/>
        <v>-144.33750000000001</v>
      </c>
    </row>
    <row r="25" spans="1:18" ht="14.1" customHeight="1">
      <c r="A25" s="560"/>
      <c r="B25" s="85">
        <v>57.734999999999999</v>
      </c>
      <c r="C25" s="36">
        <v>5</v>
      </c>
      <c r="D25" s="7">
        <v>0.5</v>
      </c>
      <c r="E25" s="6">
        <f t="shared" ref="E25:E28" si="27">B25*C25*D25</f>
        <v>144.33750000000001</v>
      </c>
      <c r="F25" s="96">
        <f t="shared" ref="F25:F28" si="28">B25*C25</f>
        <v>288.67500000000001</v>
      </c>
      <c r="G25" s="338"/>
      <c r="H25" s="8"/>
      <c r="I25" s="92"/>
      <c r="J25" s="337"/>
      <c r="K25" s="8"/>
      <c r="L25" s="14"/>
      <c r="M25" s="424">
        <f t="shared" si="19"/>
        <v>-144.33750000000001</v>
      </c>
      <c r="N25" s="6">
        <f t="shared" si="20"/>
        <v>-144.33750000000001</v>
      </c>
      <c r="O25" s="143">
        <f t="shared" si="21"/>
        <v>-144.33750000000001</v>
      </c>
      <c r="P25" s="85">
        <f t="shared" si="22"/>
        <v>-144.33750000000001</v>
      </c>
      <c r="Q25" s="6">
        <f t="shared" si="23"/>
        <v>-144.33750000000001</v>
      </c>
      <c r="R25" s="96">
        <f t="shared" si="24"/>
        <v>-144.33750000000001</v>
      </c>
    </row>
    <row r="26" spans="1:18" ht="14.1" customHeight="1">
      <c r="A26" s="560"/>
      <c r="B26" s="85">
        <v>57.734999999999999</v>
      </c>
      <c r="C26" s="36">
        <v>5</v>
      </c>
      <c r="D26" s="7">
        <v>0.5</v>
      </c>
      <c r="E26" s="6">
        <f t="shared" si="27"/>
        <v>144.33750000000001</v>
      </c>
      <c r="F26" s="96">
        <f t="shared" si="28"/>
        <v>288.67500000000001</v>
      </c>
      <c r="G26" s="338"/>
      <c r="H26" s="8"/>
      <c r="I26" s="92"/>
      <c r="J26" s="337"/>
      <c r="K26" s="8"/>
      <c r="L26" s="14"/>
      <c r="M26" s="424">
        <f t="shared" si="19"/>
        <v>-144.33750000000001</v>
      </c>
      <c r="N26" s="6">
        <f t="shared" si="20"/>
        <v>-144.33750000000001</v>
      </c>
      <c r="O26" s="143">
        <f t="shared" si="21"/>
        <v>-144.33750000000001</v>
      </c>
      <c r="P26" s="85">
        <f t="shared" si="22"/>
        <v>-144.33750000000001</v>
      </c>
      <c r="Q26" s="6">
        <f t="shared" si="23"/>
        <v>-144.33750000000001</v>
      </c>
      <c r="R26" s="96">
        <f t="shared" si="24"/>
        <v>-144.33750000000001</v>
      </c>
    </row>
    <row r="27" spans="1:18" ht="14.1" customHeight="1">
      <c r="A27" s="560"/>
      <c r="B27" s="85">
        <v>57.734999999999999</v>
      </c>
      <c r="C27" s="36">
        <v>5</v>
      </c>
      <c r="D27" s="7">
        <v>0.5</v>
      </c>
      <c r="E27" s="6">
        <f t="shared" si="27"/>
        <v>144.33750000000001</v>
      </c>
      <c r="F27" s="96">
        <f t="shared" si="28"/>
        <v>288.67500000000001</v>
      </c>
      <c r="G27" s="338"/>
      <c r="H27" s="8"/>
      <c r="I27" s="92"/>
      <c r="J27" s="337"/>
      <c r="K27" s="8"/>
      <c r="L27" s="14"/>
      <c r="M27" s="424">
        <f t="shared" si="19"/>
        <v>-144.33750000000001</v>
      </c>
      <c r="N27" s="6">
        <f t="shared" si="20"/>
        <v>-144.33750000000001</v>
      </c>
      <c r="O27" s="143">
        <f t="shared" si="21"/>
        <v>-144.33750000000001</v>
      </c>
      <c r="P27" s="85">
        <f t="shared" si="22"/>
        <v>-144.33750000000001</v>
      </c>
      <c r="Q27" s="6">
        <f t="shared" si="23"/>
        <v>-144.33750000000001</v>
      </c>
      <c r="R27" s="96">
        <f t="shared" si="24"/>
        <v>-144.33750000000001</v>
      </c>
    </row>
    <row r="28" spans="1:18" ht="14.1" customHeight="1" thickBot="1">
      <c r="A28" s="561"/>
      <c r="B28" s="86">
        <v>57.734999999999999</v>
      </c>
      <c r="C28" s="87">
        <v>5</v>
      </c>
      <c r="D28" s="21">
        <v>0.5</v>
      </c>
      <c r="E28" s="17">
        <f t="shared" si="27"/>
        <v>144.33750000000001</v>
      </c>
      <c r="F28" s="97">
        <f t="shared" si="28"/>
        <v>288.67500000000001</v>
      </c>
      <c r="G28" s="340"/>
      <c r="H28" s="18"/>
      <c r="I28" s="93"/>
      <c r="J28" s="339"/>
      <c r="K28" s="18"/>
      <c r="L28" s="19"/>
      <c r="M28" s="429">
        <f t="shared" si="19"/>
        <v>-144.33750000000001</v>
      </c>
      <c r="N28" s="17">
        <f t="shared" si="20"/>
        <v>-144.33750000000001</v>
      </c>
      <c r="O28" s="144">
        <f t="shared" si="21"/>
        <v>-144.33750000000001</v>
      </c>
      <c r="P28" s="86">
        <f t="shared" si="22"/>
        <v>-144.33750000000001</v>
      </c>
      <c r="Q28" s="17">
        <f t="shared" si="23"/>
        <v>-144.33750000000001</v>
      </c>
      <c r="R28" s="97">
        <f t="shared" si="24"/>
        <v>-144.33750000000001</v>
      </c>
    </row>
    <row r="29" spans="1:18" ht="14.1" customHeight="1">
      <c r="B29" s="28" t="s">
        <v>14</v>
      </c>
      <c r="C29" s="29" t="s">
        <v>143</v>
      </c>
      <c r="D29" s="30" t="s">
        <v>0</v>
      </c>
      <c r="E29" s="31" t="s">
        <v>147</v>
      </c>
      <c r="F29" s="94" t="s">
        <v>148</v>
      </c>
      <c r="G29" s="423" t="s">
        <v>150</v>
      </c>
      <c r="H29" s="23" t="s">
        <v>151</v>
      </c>
      <c r="I29" s="187" t="s">
        <v>152</v>
      </c>
      <c r="J29" s="22" t="s">
        <v>150</v>
      </c>
      <c r="K29" s="23" t="s">
        <v>151</v>
      </c>
      <c r="L29" s="24" t="s">
        <v>152</v>
      </c>
      <c r="M29" s="425" t="s">
        <v>153</v>
      </c>
      <c r="N29" s="100" t="s">
        <v>151</v>
      </c>
      <c r="O29" s="442" t="s">
        <v>152</v>
      </c>
      <c r="P29" s="99" t="s">
        <v>153</v>
      </c>
      <c r="Q29" s="100" t="s">
        <v>151</v>
      </c>
      <c r="R29" s="101" t="s">
        <v>152</v>
      </c>
    </row>
    <row r="30" spans="1:18" ht="14.1" customHeight="1">
      <c r="B30" s="25">
        <f t="shared" ref="B30:F30" si="29">AVERAGE(B32:B41)</f>
        <v>57.734999999999999</v>
      </c>
      <c r="C30" s="26">
        <f t="shared" si="29"/>
        <v>5</v>
      </c>
      <c r="D30" s="26">
        <f t="shared" si="29"/>
        <v>0.5</v>
      </c>
      <c r="E30" s="26">
        <f t="shared" si="29"/>
        <v>144.33750000000003</v>
      </c>
      <c r="F30" s="27">
        <f t="shared" si="29"/>
        <v>288.67500000000007</v>
      </c>
      <c r="G30" s="195" t="e">
        <f t="shared" ref="G30:N30" si="30">AVERAGE(G32:G41)</f>
        <v>#DIV/0!</v>
      </c>
      <c r="H30" s="26" t="e">
        <f t="shared" si="30"/>
        <v>#DIV/0!</v>
      </c>
      <c r="I30" s="32" t="e">
        <f t="shared" si="30"/>
        <v>#DIV/0!</v>
      </c>
      <c r="J30" s="25" t="e">
        <f t="shared" si="30"/>
        <v>#DIV/0!</v>
      </c>
      <c r="K30" s="26" t="e">
        <f t="shared" si="30"/>
        <v>#DIV/0!</v>
      </c>
      <c r="L30" s="27" t="e">
        <f t="shared" si="30"/>
        <v>#DIV/0!</v>
      </c>
      <c r="M30" s="426">
        <f t="shared" si="30"/>
        <v>-144.33750000000003</v>
      </c>
      <c r="N30" s="146">
        <f t="shared" si="30"/>
        <v>-144.33750000000003</v>
      </c>
      <c r="O30" s="443">
        <f>AVERAGE(O32:O41)</f>
        <v>-144.33750000000003</v>
      </c>
      <c r="P30" s="145">
        <f t="shared" ref="P30" si="31">AVERAGE(P32:P41)</f>
        <v>-144.33750000000003</v>
      </c>
      <c r="Q30" s="146">
        <f>AVERAGE(Q32:Q41)</f>
        <v>-144.33750000000003</v>
      </c>
      <c r="R30" s="147">
        <f t="shared" ref="R30" si="32">AVERAGE(R32:R41)</f>
        <v>-144.33750000000003</v>
      </c>
    </row>
    <row r="31" spans="1:18" s="135" customFormat="1" ht="14.1" customHeight="1" thickBot="1">
      <c r="B31" s="136">
        <f>STDEV(B32:B41)/B30*100</f>
        <v>0</v>
      </c>
      <c r="C31" s="137">
        <f>STDEV(C32:C41)/C30*100</f>
        <v>0</v>
      </c>
      <c r="D31" s="137">
        <f>STDEV(D32:D41)/D30*100</f>
        <v>0</v>
      </c>
      <c r="E31" s="137">
        <f>STDEV(E32:E41)/F30*100</f>
        <v>1.037814575740464E-14</v>
      </c>
      <c r="F31" s="148">
        <f>STDEV(F32:F41)/F30*100</f>
        <v>2.0756291514809279E-14</v>
      </c>
      <c r="G31" s="445" t="e">
        <f>STDEV(G32:G41)/F30*100</f>
        <v>#DIV/0!</v>
      </c>
      <c r="H31" s="141" t="e">
        <f>STDEV(H32:H41)/F30*100</f>
        <v>#DIV/0!</v>
      </c>
      <c r="I31" s="188" t="e">
        <f>STDEV(I32:I41)/F30*100</f>
        <v>#DIV/0!</v>
      </c>
      <c r="J31" s="448" t="e">
        <f>STDEV(J32:J41)/F30*100</f>
        <v>#DIV/0!</v>
      </c>
      <c r="K31" s="141" t="e">
        <f>STDEV(K32:K41)/F30*100</f>
        <v>#DIV/0!</v>
      </c>
      <c r="L31" s="142" t="e">
        <f>STDEV(L32:L41)/F30*100</f>
        <v>#DIV/0!</v>
      </c>
      <c r="M31" s="427">
        <f>100*STDEV(M32:M41)/$F$30</f>
        <v>1.037814575740464E-14</v>
      </c>
      <c r="N31" s="193">
        <f t="shared" ref="N31:O31" si="33">100*STDEV(N32:N41)/$F$30</f>
        <v>1.037814575740464E-14</v>
      </c>
      <c r="O31" s="444">
        <f t="shared" si="33"/>
        <v>1.037814575740464E-14</v>
      </c>
      <c r="P31" s="192">
        <f>100*STDEV(P32:P41)/$F$30</f>
        <v>1.037814575740464E-14</v>
      </c>
      <c r="Q31" s="193">
        <f t="shared" ref="Q31:R31" si="34">100*STDEV(Q32:Q41)/$F$30</f>
        <v>1.037814575740464E-14</v>
      </c>
      <c r="R31" s="194">
        <f t="shared" si="34"/>
        <v>1.037814575740464E-14</v>
      </c>
    </row>
    <row r="32" spans="1:18" ht="14.1" customHeight="1">
      <c r="A32" s="559" t="s">
        <v>27</v>
      </c>
      <c r="B32" s="9">
        <v>57.734999999999999</v>
      </c>
      <c r="C32" s="10">
        <v>5</v>
      </c>
      <c r="D32" s="34">
        <v>0.5</v>
      </c>
      <c r="E32" s="3">
        <f>B32*C32*D32</f>
        <v>144.33750000000001</v>
      </c>
      <c r="F32" s="95">
        <f>B32*C32</f>
        <v>288.67500000000001</v>
      </c>
      <c r="G32" s="447"/>
      <c r="H32" s="12"/>
      <c r="I32" s="91"/>
      <c r="J32" s="449"/>
      <c r="K32" s="12"/>
      <c r="L32" s="13"/>
      <c r="M32" s="428">
        <f t="shared" ref="M32:M41" si="35">(G32-E32)</f>
        <v>-144.33750000000001</v>
      </c>
      <c r="N32" s="132">
        <f t="shared" ref="N32:N41" si="36">(H32-E32)</f>
        <v>-144.33750000000001</v>
      </c>
      <c r="O32" s="190">
        <f t="shared" ref="O32:O41" si="37">(I32-E32)</f>
        <v>-144.33750000000001</v>
      </c>
      <c r="P32" s="189">
        <f t="shared" ref="P32:P41" si="38">(J32-E32)</f>
        <v>-144.33750000000001</v>
      </c>
      <c r="Q32" s="132">
        <f t="shared" ref="Q32:Q41" si="39">(K32-E32)</f>
        <v>-144.33750000000001</v>
      </c>
      <c r="R32" s="191">
        <f t="shared" ref="R32:R41" si="40">(L32-E32)</f>
        <v>-144.33750000000001</v>
      </c>
    </row>
    <row r="33" spans="1:18" ht="14.1" customHeight="1">
      <c r="A33" s="560"/>
      <c r="B33" s="85">
        <v>57.734999999999999</v>
      </c>
      <c r="C33" s="36">
        <v>5</v>
      </c>
      <c r="D33" s="7">
        <v>0.5</v>
      </c>
      <c r="E33" s="6">
        <f t="shared" ref="E33:E36" si="41">B33*C33*D33</f>
        <v>144.33750000000001</v>
      </c>
      <c r="F33" s="96">
        <f t="shared" ref="F33:F36" si="42">B33*C33</f>
        <v>288.67500000000001</v>
      </c>
      <c r="G33" s="338"/>
      <c r="H33" s="8"/>
      <c r="I33" s="92"/>
      <c r="J33" s="337"/>
      <c r="K33" s="8"/>
      <c r="L33" s="14"/>
      <c r="M33" s="424">
        <f t="shared" si="35"/>
        <v>-144.33750000000001</v>
      </c>
      <c r="N33" s="6">
        <f t="shared" si="36"/>
        <v>-144.33750000000001</v>
      </c>
      <c r="O33" s="143">
        <f t="shared" si="37"/>
        <v>-144.33750000000001</v>
      </c>
      <c r="P33" s="85">
        <f t="shared" si="38"/>
        <v>-144.33750000000001</v>
      </c>
      <c r="Q33" s="6">
        <f t="shared" si="39"/>
        <v>-144.33750000000001</v>
      </c>
      <c r="R33" s="96">
        <f t="shared" si="40"/>
        <v>-144.33750000000001</v>
      </c>
    </row>
    <row r="34" spans="1:18" ht="14.1" customHeight="1">
      <c r="A34" s="560"/>
      <c r="B34" s="85">
        <v>57.734999999999999</v>
      </c>
      <c r="C34" s="36">
        <v>5</v>
      </c>
      <c r="D34" s="7">
        <v>0.5</v>
      </c>
      <c r="E34" s="6">
        <f t="shared" si="41"/>
        <v>144.33750000000001</v>
      </c>
      <c r="F34" s="96">
        <f t="shared" si="42"/>
        <v>288.67500000000001</v>
      </c>
      <c r="G34" s="338"/>
      <c r="H34" s="8"/>
      <c r="I34" s="92"/>
      <c r="J34" s="337"/>
      <c r="K34" s="8"/>
      <c r="L34" s="14"/>
      <c r="M34" s="424">
        <f t="shared" si="35"/>
        <v>-144.33750000000001</v>
      </c>
      <c r="N34" s="6">
        <f t="shared" si="36"/>
        <v>-144.33750000000001</v>
      </c>
      <c r="O34" s="143">
        <f t="shared" si="37"/>
        <v>-144.33750000000001</v>
      </c>
      <c r="P34" s="85">
        <f t="shared" si="38"/>
        <v>-144.33750000000001</v>
      </c>
      <c r="Q34" s="6">
        <f t="shared" si="39"/>
        <v>-144.33750000000001</v>
      </c>
      <c r="R34" s="96">
        <f t="shared" si="40"/>
        <v>-144.33750000000001</v>
      </c>
    </row>
    <row r="35" spans="1:18" ht="14.1" customHeight="1">
      <c r="A35" s="560"/>
      <c r="B35" s="85">
        <v>57.734999999999999</v>
      </c>
      <c r="C35" s="36">
        <v>5</v>
      </c>
      <c r="D35" s="7">
        <v>0.5</v>
      </c>
      <c r="E35" s="6">
        <f t="shared" si="41"/>
        <v>144.33750000000001</v>
      </c>
      <c r="F35" s="96">
        <f t="shared" si="42"/>
        <v>288.67500000000001</v>
      </c>
      <c r="G35" s="338"/>
      <c r="H35" s="8"/>
      <c r="I35" s="92"/>
      <c r="J35" s="337"/>
      <c r="K35" s="8"/>
      <c r="L35" s="14"/>
      <c r="M35" s="424">
        <f t="shared" si="35"/>
        <v>-144.33750000000001</v>
      </c>
      <c r="N35" s="6">
        <f t="shared" si="36"/>
        <v>-144.33750000000001</v>
      </c>
      <c r="O35" s="143">
        <f t="shared" si="37"/>
        <v>-144.33750000000001</v>
      </c>
      <c r="P35" s="85">
        <f t="shared" si="38"/>
        <v>-144.33750000000001</v>
      </c>
      <c r="Q35" s="6">
        <f t="shared" si="39"/>
        <v>-144.33750000000001</v>
      </c>
      <c r="R35" s="96">
        <f t="shared" si="40"/>
        <v>-144.33750000000001</v>
      </c>
    </row>
    <row r="36" spans="1:18" ht="14.1" customHeight="1">
      <c r="A36" s="560"/>
      <c r="B36" s="85">
        <v>57.734999999999999</v>
      </c>
      <c r="C36" s="36">
        <v>5</v>
      </c>
      <c r="D36" s="7">
        <v>0.5</v>
      </c>
      <c r="E36" s="6">
        <f t="shared" si="41"/>
        <v>144.33750000000001</v>
      </c>
      <c r="F36" s="96">
        <f t="shared" si="42"/>
        <v>288.67500000000001</v>
      </c>
      <c r="G36" s="338"/>
      <c r="H36" s="8"/>
      <c r="I36" s="92"/>
      <c r="J36" s="337"/>
      <c r="K36" s="8"/>
      <c r="L36" s="14"/>
      <c r="M36" s="424">
        <f t="shared" si="35"/>
        <v>-144.33750000000001</v>
      </c>
      <c r="N36" s="6">
        <f t="shared" si="36"/>
        <v>-144.33750000000001</v>
      </c>
      <c r="O36" s="143">
        <f t="shared" si="37"/>
        <v>-144.33750000000001</v>
      </c>
      <c r="P36" s="85">
        <f t="shared" si="38"/>
        <v>-144.33750000000001</v>
      </c>
      <c r="Q36" s="6">
        <f t="shared" si="39"/>
        <v>-144.33750000000001</v>
      </c>
      <c r="R36" s="96">
        <f t="shared" si="40"/>
        <v>-144.33750000000001</v>
      </c>
    </row>
    <row r="37" spans="1:18" ht="14.1" customHeight="1">
      <c r="A37" s="560"/>
      <c r="B37" s="85">
        <v>57.734999999999999</v>
      </c>
      <c r="C37" s="36">
        <v>5</v>
      </c>
      <c r="D37" s="7">
        <v>0.5</v>
      </c>
      <c r="E37" s="6">
        <f>B37*C37*D37</f>
        <v>144.33750000000001</v>
      </c>
      <c r="F37" s="96">
        <f>B37*C37</f>
        <v>288.67500000000001</v>
      </c>
      <c r="G37" s="338"/>
      <c r="H37" s="8"/>
      <c r="I37" s="92"/>
      <c r="J37" s="337"/>
      <c r="K37" s="8"/>
      <c r="L37" s="14"/>
      <c r="M37" s="424">
        <f t="shared" si="35"/>
        <v>-144.33750000000001</v>
      </c>
      <c r="N37" s="6">
        <f t="shared" si="36"/>
        <v>-144.33750000000001</v>
      </c>
      <c r="O37" s="143">
        <f t="shared" si="37"/>
        <v>-144.33750000000001</v>
      </c>
      <c r="P37" s="85">
        <f t="shared" si="38"/>
        <v>-144.33750000000001</v>
      </c>
      <c r="Q37" s="6">
        <f t="shared" si="39"/>
        <v>-144.33750000000001</v>
      </c>
      <c r="R37" s="96">
        <f t="shared" si="40"/>
        <v>-144.33750000000001</v>
      </c>
    </row>
    <row r="38" spans="1:18" ht="14.1" customHeight="1">
      <c r="A38" s="560"/>
      <c r="B38" s="85">
        <v>57.734999999999999</v>
      </c>
      <c r="C38" s="36">
        <v>5</v>
      </c>
      <c r="D38" s="7">
        <v>0.5</v>
      </c>
      <c r="E38" s="6">
        <f t="shared" ref="E38:E41" si="43">B38*C38*D38</f>
        <v>144.33750000000001</v>
      </c>
      <c r="F38" s="96">
        <f t="shared" ref="F38:F41" si="44">B38*C38</f>
        <v>288.67500000000001</v>
      </c>
      <c r="G38" s="338"/>
      <c r="H38" s="8"/>
      <c r="I38" s="92"/>
      <c r="J38" s="337"/>
      <c r="K38" s="8"/>
      <c r="L38" s="14"/>
      <c r="M38" s="424">
        <f t="shared" si="35"/>
        <v>-144.33750000000001</v>
      </c>
      <c r="N38" s="6">
        <f t="shared" si="36"/>
        <v>-144.33750000000001</v>
      </c>
      <c r="O38" s="143">
        <f t="shared" si="37"/>
        <v>-144.33750000000001</v>
      </c>
      <c r="P38" s="85">
        <f t="shared" si="38"/>
        <v>-144.33750000000001</v>
      </c>
      <c r="Q38" s="6">
        <f t="shared" si="39"/>
        <v>-144.33750000000001</v>
      </c>
      <c r="R38" s="96">
        <f t="shared" si="40"/>
        <v>-144.33750000000001</v>
      </c>
    </row>
    <row r="39" spans="1:18" ht="14.1" customHeight="1">
      <c r="A39" s="560"/>
      <c r="B39" s="85">
        <v>57.734999999999999</v>
      </c>
      <c r="C39" s="36">
        <v>5</v>
      </c>
      <c r="D39" s="7">
        <v>0.5</v>
      </c>
      <c r="E39" s="6">
        <f t="shared" si="43"/>
        <v>144.33750000000001</v>
      </c>
      <c r="F39" s="96">
        <f t="shared" si="44"/>
        <v>288.67500000000001</v>
      </c>
      <c r="G39" s="338"/>
      <c r="H39" s="8"/>
      <c r="I39" s="92"/>
      <c r="J39" s="337"/>
      <c r="K39" s="8"/>
      <c r="L39" s="14"/>
      <c r="M39" s="424">
        <f t="shared" si="35"/>
        <v>-144.33750000000001</v>
      </c>
      <c r="N39" s="6">
        <f t="shared" si="36"/>
        <v>-144.33750000000001</v>
      </c>
      <c r="O39" s="143">
        <f t="shared" si="37"/>
        <v>-144.33750000000001</v>
      </c>
      <c r="P39" s="85">
        <f t="shared" si="38"/>
        <v>-144.33750000000001</v>
      </c>
      <c r="Q39" s="6">
        <f t="shared" si="39"/>
        <v>-144.33750000000001</v>
      </c>
      <c r="R39" s="96">
        <f t="shared" si="40"/>
        <v>-144.33750000000001</v>
      </c>
    </row>
    <row r="40" spans="1:18" ht="14.1" customHeight="1">
      <c r="A40" s="560"/>
      <c r="B40" s="85">
        <v>57.734999999999999</v>
      </c>
      <c r="C40" s="36">
        <v>5</v>
      </c>
      <c r="D40" s="7">
        <v>0.5</v>
      </c>
      <c r="E40" s="6">
        <f t="shared" si="43"/>
        <v>144.33750000000001</v>
      </c>
      <c r="F40" s="96">
        <f t="shared" si="44"/>
        <v>288.67500000000001</v>
      </c>
      <c r="G40" s="338"/>
      <c r="H40" s="8"/>
      <c r="I40" s="92"/>
      <c r="J40" s="337"/>
      <c r="K40" s="8"/>
      <c r="L40" s="14"/>
      <c r="M40" s="424">
        <f t="shared" si="35"/>
        <v>-144.33750000000001</v>
      </c>
      <c r="N40" s="6">
        <f t="shared" si="36"/>
        <v>-144.33750000000001</v>
      </c>
      <c r="O40" s="143">
        <f t="shared" si="37"/>
        <v>-144.33750000000001</v>
      </c>
      <c r="P40" s="85">
        <f t="shared" si="38"/>
        <v>-144.33750000000001</v>
      </c>
      <c r="Q40" s="6">
        <f t="shared" si="39"/>
        <v>-144.33750000000001</v>
      </c>
      <c r="R40" s="96">
        <f t="shared" si="40"/>
        <v>-144.33750000000001</v>
      </c>
    </row>
    <row r="41" spans="1:18" ht="14.1" customHeight="1" thickBot="1">
      <c r="A41" s="561"/>
      <c r="B41" s="86">
        <v>57.734999999999999</v>
      </c>
      <c r="C41" s="87">
        <v>5</v>
      </c>
      <c r="D41" s="21">
        <v>0.5</v>
      </c>
      <c r="E41" s="17">
        <f t="shared" si="43"/>
        <v>144.33750000000001</v>
      </c>
      <c r="F41" s="97">
        <f t="shared" si="44"/>
        <v>288.67500000000001</v>
      </c>
      <c r="G41" s="340"/>
      <c r="H41" s="18"/>
      <c r="I41" s="93"/>
      <c r="J41" s="339"/>
      <c r="K41" s="18"/>
      <c r="L41" s="19"/>
      <c r="M41" s="429">
        <f t="shared" si="35"/>
        <v>-144.33750000000001</v>
      </c>
      <c r="N41" s="17">
        <f t="shared" si="36"/>
        <v>-144.33750000000001</v>
      </c>
      <c r="O41" s="144">
        <f t="shared" si="37"/>
        <v>-144.33750000000001</v>
      </c>
      <c r="P41" s="86">
        <f t="shared" si="38"/>
        <v>-144.33750000000001</v>
      </c>
      <c r="Q41" s="17">
        <f t="shared" si="39"/>
        <v>-144.33750000000001</v>
      </c>
      <c r="R41" s="97">
        <f t="shared" si="40"/>
        <v>-144.33750000000001</v>
      </c>
    </row>
    <row r="42" spans="1:18" ht="14.1" customHeight="1">
      <c r="B42" s="28" t="s">
        <v>14</v>
      </c>
      <c r="C42" s="29" t="s">
        <v>143</v>
      </c>
      <c r="D42" s="30" t="s">
        <v>0</v>
      </c>
      <c r="E42" s="31" t="s">
        <v>147</v>
      </c>
      <c r="F42" s="94" t="s">
        <v>148</v>
      </c>
      <c r="G42" s="423" t="s">
        <v>150</v>
      </c>
      <c r="H42" s="23" t="s">
        <v>151</v>
      </c>
      <c r="I42" s="187" t="s">
        <v>152</v>
      </c>
      <c r="J42" s="22" t="s">
        <v>150</v>
      </c>
      <c r="K42" s="23" t="s">
        <v>151</v>
      </c>
      <c r="L42" s="24" t="s">
        <v>152</v>
      </c>
      <c r="M42" s="425" t="s">
        <v>153</v>
      </c>
      <c r="N42" s="100" t="s">
        <v>151</v>
      </c>
      <c r="O42" s="442" t="s">
        <v>152</v>
      </c>
      <c r="P42" s="99" t="s">
        <v>153</v>
      </c>
      <c r="Q42" s="100" t="s">
        <v>151</v>
      </c>
      <c r="R42" s="101" t="s">
        <v>152</v>
      </c>
    </row>
    <row r="43" spans="1:18" ht="14.1" customHeight="1">
      <c r="B43" s="25">
        <f t="shared" ref="B43:F43" si="45">AVERAGE(B45:B54)</f>
        <v>57.734999999999999</v>
      </c>
      <c r="C43" s="26">
        <f t="shared" si="45"/>
        <v>2.5</v>
      </c>
      <c r="D43" s="26">
        <f t="shared" si="45"/>
        <v>1</v>
      </c>
      <c r="E43" s="26">
        <f t="shared" si="45"/>
        <v>144.33750000000003</v>
      </c>
      <c r="F43" s="27">
        <f t="shared" si="45"/>
        <v>144.33750000000003</v>
      </c>
      <c r="G43" s="195" t="e">
        <f t="shared" ref="G43:N43" si="46">AVERAGE(G45:G54)</f>
        <v>#DIV/0!</v>
      </c>
      <c r="H43" s="26" t="e">
        <f t="shared" si="46"/>
        <v>#DIV/0!</v>
      </c>
      <c r="I43" s="32" t="e">
        <f t="shared" si="46"/>
        <v>#DIV/0!</v>
      </c>
      <c r="J43" s="25" t="e">
        <f t="shared" si="46"/>
        <v>#DIV/0!</v>
      </c>
      <c r="K43" s="26" t="e">
        <f t="shared" si="46"/>
        <v>#DIV/0!</v>
      </c>
      <c r="L43" s="27" t="e">
        <f t="shared" si="46"/>
        <v>#DIV/0!</v>
      </c>
      <c r="M43" s="426">
        <f t="shared" si="46"/>
        <v>-144.33750000000003</v>
      </c>
      <c r="N43" s="146">
        <f t="shared" si="46"/>
        <v>-144.33750000000003</v>
      </c>
      <c r="O43" s="443">
        <f>AVERAGE(O45:O54)</f>
        <v>-144.33750000000003</v>
      </c>
      <c r="P43" s="145">
        <f t="shared" ref="P43" si="47">AVERAGE(P45:P54)</f>
        <v>-144.33750000000003</v>
      </c>
      <c r="Q43" s="146">
        <f>AVERAGE(Q45:Q54)</f>
        <v>-144.33750000000003</v>
      </c>
      <c r="R43" s="147">
        <f t="shared" ref="R43" si="48">AVERAGE(R45:R54)</f>
        <v>-144.33750000000003</v>
      </c>
    </row>
    <row r="44" spans="1:18" s="135" customFormat="1" ht="14.1" customHeight="1" thickBot="1">
      <c r="B44" s="136">
        <f>STDEV(B45:B54)/B43*100</f>
        <v>0</v>
      </c>
      <c r="C44" s="137">
        <f>STDEV(C45:C54)/C43*100</f>
        <v>0</v>
      </c>
      <c r="D44" s="137">
        <f>STDEV(D45:D54)/D43*100</f>
        <v>0</v>
      </c>
      <c r="E44" s="137">
        <f>STDEV(E45:E54)/F43*100</f>
        <v>2.0756291514809279E-14</v>
      </c>
      <c r="F44" s="148">
        <f>STDEV(F45:F54)/F43*100</f>
        <v>2.0756291514809279E-14</v>
      </c>
      <c r="G44" s="445" t="e">
        <f>STDEV(G45:G54)/F43*100</f>
        <v>#DIV/0!</v>
      </c>
      <c r="H44" s="141" t="e">
        <f>STDEV(H45:H54)/F43*100</f>
        <v>#DIV/0!</v>
      </c>
      <c r="I44" s="188" t="e">
        <f>STDEV(I45:I54)/F43*100</f>
        <v>#DIV/0!</v>
      </c>
      <c r="J44" s="448" t="e">
        <f>STDEV(J45:J54)/F43*100</f>
        <v>#DIV/0!</v>
      </c>
      <c r="K44" s="141" t="e">
        <f>STDEV(K45:K54)/F43*100</f>
        <v>#DIV/0!</v>
      </c>
      <c r="L44" s="142" t="e">
        <f>STDEV(L45:L54)/F43*100</f>
        <v>#DIV/0!</v>
      </c>
      <c r="M44" s="427">
        <f>100*STDEV(M45:M54)/$F$43</f>
        <v>2.0756291514809279E-14</v>
      </c>
      <c r="N44" s="193">
        <f t="shared" ref="N44:O44" si="49">100*STDEV(N45:N54)/$F$43</f>
        <v>2.0756291514809279E-14</v>
      </c>
      <c r="O44" s="444">
        <f t="shared" si="49"/>
        <v>2.0756291514809279E-14</v>
      </c>
      <c r="P44" s="192">
        <f>100*STDEV(P45:P54)/$F$43</f>
        <v>2.0756291514809279E-14</v>
      </c>
      <c r="Q44" s="193">
        <f t="shared" ref="Q44:R44" si="50">100*STDEV(Q45:Q54)/$F$43</f>
        <v>2.0756291514809279E-14</v>
      </c>
      <c r="R44" s="194">
        <f t="shared" si="50"/>
        <v>2.0756291514809279E-14</v>
      </c>
    </row>
    <row r="45" spans="1:18" ht="14.1" customHeight="1">
      <c r="A45" s="559" t="s">
        <v>34</v>
      </c>
      <c r="B45" s="9">
        <v>57.734999999999999</v>
      </c>
      <c r="C45" s="34">
        <v>2.5</v>
      </c>
      <c r="D45" s="10">
        <v>1</v>
      </c>
      <c r="E45" s="3">
        <f>B45*C45*D45</f>
        <v>144.33750000000001</v>
      </c>
      <c r="F45" s="95">
        <f>B45*C45</f>
        <v>144.33750000000001</v>
      </c>
      <c r="G45" s="447"/>
      <c r="H45" s="12"/>
      <c r="I45" s="91"/>
      <c r="J45" s="449"/>
      <c r="K45" s="12"/>
      <c r="L45" s="13"/>
      <c r="M45" s="428">
        <f t="shared" ref="M45:M54" si="51">(G45-E45)</f>
        <v>-144.33750000000001</v>
      </c>
      <c r="N45" s="132">
        <f t="shared" ref="N45:N54" si="52">(H45-E45)</f>
        <v>-144.33750000000001</v>
      </c>
      <c r="O45" s="190">
        <f t="shared" ref="O45:O54" si="53">(I45-E45)</f>
        <v>-144.33750000000001</v>
      </c>
      <c r="P45" s="189">
        <f t="shared" ref="P45:P54" si="54">(J45-E45)</f>
        <v>-144.33750000000001</v>
      </c>
      <c r="Q45" s="132">
        <f t="shared" ref="Q45:Q54" si="55">(K45-E45)</f>
        <v>-144.33750000000001</v>
      </c>
      <c r="R45" s="191">
        <f t="shared" ref="R45:R54" si="56">(L45-E45)</f>
        <v>-144.33750000000001</v>
      </c>
    </row>
    <row r="46" spans="1:18" ht="14.1" customHeight="1">
      <c r="A46" s="560"/>
      <c r="B46" s="85">
        <v>57.734999999999999</v>
      </c>
      <c r="C46" s="7">
        <v>2.5</v>
      </c>
      <c r="D46" s="36">
        <v>1</v>
      </c>
      <c r="E46" s="6">
        <f t="shared" ref="E46:E54" si="57">B46*C46*D46</f>
        <v>144.33750000000001</v>
      </c>
      <c r="F46" s="96">
        <f t="shared" ref="F46:F54" si="58">B46*C46</f>
        <v>144.33750000000001</v>
      </c>
      <c r="G46" s="338"/>
      <c r="H46" s="8"/>
      <c r="I46" s="92"/>
      <c r="J46" s="337"/>
      <c r="K46" s="8"/>
      <c r="L46" s="14"/>
      <c r="M46" s="424">
        <f t="shared" si="51"/>
        <v>-144.33750000000001</v>
      </c>
      <c r="N46" s="6">
        <f t="shared" si="52"/>
        <v>-144.33750000000001</v>
      </c>
      <c r="O46" s="143">
        <f t="shared" si="53"/>
        <v>-144.33750000000001</v>
      </c>
      <c r="P46" s="85">
        <f t="shared" si="54"/>
        <v>-144.33750000000001</v>
      </c>
      <c r="Q46" s="6">
        <f t="shared" si="55"/>
        <v>-144.33750000000001</v>
      </c>
      <c r="R46" s="96">
        <f t="shared" si="56"/>
        <v>-144.33750000000001</v>
      </c>
    </row>
    <row r="47" spans="1:18" ht="14.1" customHeight="1">
      <c r="A47" s="560"/>
      <c r="B47" s="85">
        <v>57.734999999999999</v>
      </c>
      <c r="C47" s="7">
        <v>2.5</v>
      </c>
      <c r="D47" s="36">
        <v>1</v>
      </c>
      <c r="E47" s="6">
        <f t="shared" si="57"/>
        <v>144.33750000000001</v>
      </c>
      <c r="F47" s="96">
        <f t="shared" si="58"/>
        <v>144.33750000000001</v>
      </c>
      <c r="G47" s="338"/>
      <c r="H47" s="8"/>
      <c r="I47" s="92"/>
      <c r="J47" s="337"/>
      <c r="K47" s="8"/>
      <c r="L47" s="14"/>
      <c r="M47" s="424">
        <f t="shared" si="51"/>
        <v>-144.33750000000001</v>
      </c>
      <c r="N47" s="6">
        <f t="shared" si="52"/>
        <v>-144.33750000000001</v>
      </c>
      <c r="O47" s="143">
        <f t="shared" si="53"/>
        <v>-144.33750000000001</v>
      </c>
      <c r="P47" s="85">
        <f t="shared" si="54"/>
        <v>-144.33750000000001</v>
      </c>
      <c r="Q47" s="6">
        <f t="shared" si="55"/>
        <v>-144.33750000000001</v>
      </c>
      <c r="R47" s="96">
        <f t="shared" si="56"/>
        <v>-144.33750000000001</v>
      </c>
    </row>
    <row r="48" spans="1:18" ht="14.1" customHeight="1">
      <c r="A48" s="560"/>
      <c r="B48" s="85">
        <v>57.734999999999999</v>
      </c>
      <c r="C48" s="7">
        <v>2.5</v>
      </c>
      <c r="D48" s="36">
        <v>1</v>
      </c>
      <c r="E48" s="6">
        <f t="shared" si="57"/>
        <v>144.33750000000001</v>
      </c>
      <c r="F48" s="96">
        <f t="shared" si="58"/>
        <v>144.33750000000001</v>
      </c>
      <c r="G48" s="338"/>
      <c r="H48" s="8"/>
      <c r="I48" s="92"/>
      <c r="J48" s="337"/>
      <c r="K48" s="8"/>
      <c r="L48" s="14"/>
      <c r="M48" s="424">
        <f t="shared" si="51"/>
        <v>-144.33750000000001</v>
      </c>
      <c r="N48" s="6">
        <f t="shared" si="52"/>
        <v>-144.33750000000001</v>
      </c>
      <c r="O48" s="143">
        <f t="shared" si="53"/>
        <v>-144.33750000000001</v>
      </c>
      <c r="P48" s="85">
        <f t="shared" si="54"/>
        <v>-144.33750000000001</v>
      </c>
      <c r="Q48" s="6">
        <f t="shared" si="55"/>
        <v>-144.33750000000001</v>
      </c>
      <c r="R48" s="96">
        <f t="shared" si="56"/>
        <v>-144.33750000000001</v>
      </c>
    </row>
    <row r="49" spans="1:18" ht="14.1" customHeight="1">
      <c r="A49" s="560"/>
      <c r="B49" s="85">
        <v>57.734999999999999</v>
      </c>
      <c r="C49" s="7">
        <v>2.5</v>
      </c>
      <c r="D49" s="36">
        <v>1</v>
      </c>
      <c r="E49" s="6">
        <f t="shared" si="57"/>
        <v>144.33750000000001</v>
      </c>
      <c r="F49" s="96">
        <f t="shared" si="58"/>
        <v>144.33750000000001</v>
      </c>
      <c r="G49" s="338"/>
      <c r="H49" s="8"/>
      <c r="I49" s="92"/>
      <c r="J49" s="337"/>
      <c r="K49" s="8"/>
      <c r="L49" s="14"/>
      <c r="M49" s="424">
        <f t="shared" si="51"/>
        <v>-144.33750000000001</v>
      </c>
      <c r="N49" s="6">
        <f t="shared" si="52"/>
        <v>-144.33750000000001</v>
      </c>
      <c r="O49" s="143">
        <f t="shared" si="53"/>
        <v>-144.33750000000001</v>
      </c>
      <c r="P49" s="85">
        <f t="shared" si="54"/>
        <v>-144.33750000000001</v>
      </c>
      <c r="Q49" s="6">
        <f t="shared" si="55"/>
        <v>-144.33750000000001</v>
      </c>
      <c r="R49" s="96">
        <f t="shared" si="56"/>
        <v>-144.33750000000001</v>
      </c>
    </row>
    <row r="50" spans="1:18" ht="14.1" customHeight="1">
      <c r="A50" s="560"/>
      <c r="B50" s="85">
        <v>57.734999999999999</v>
      </c>
      <c r="C50" s="7">
        <v>2.5</v>
      </c>
      <c r="D50" s="36">
        <v>1</v>
      </c>
      <c r="E50" s="6">
        <f t="shared" si="57"/>
        <v>144.33750000000001</v>
      </c>
      <c r="F50" s="96">
        <f t="shared" si="58"/>
        <v>144.33750000000001</v>
      </c>
      <c r="G50" s="338"/>
      <c r="H50" s="8"/>
      <c r="I50" s="92"/>
      <c r="J50" s="337"/>
      <c r="K50" s="8"/>
      <c r="L50" s="14"/>
      <c r="M50" s="424">
        <f t="shared" si="51"/>
        <v>-144.33750000000001</v>
      </c>
      <c r="N50" s="6">
        <f t="shared" si="52"/>
        <v>-144.33750000000001</v>
      </c>
      <c r="O50" s="143">
        <f t="shared" si="53"/>
        <v>-144.33750000000001</v>
      </c>
      <c r="P50" s="85">
        <f t="shared" si="54"/>
        <v>-144.33750000000001</v>
      </c>
      <c r="Q50" s="6">
        <f t="shared" si="55"/>
        <v>-144.33750000000001</v>
      </c>
      <c r="R50" s="96">
        <f t="shared" si="56"/>
        <v>-144.33750000000001</v>
      </c>
    </row>
    <row r="51" spans="1:18" ht="14.1" customHeight="1">
      <c r="A51" s="560"/>
      <c r="B51" s="85">
        <v>57.734999999999999</v>
      </c>
      <c r="C51" s="7">
        <v>2.5</v>
      </c>
      <c r="D51" s="36">
        <v>1</v>
      </c>
      <c r="E51" s="6">
        <f t="shared" si="57"/>
        <v>144.33750000000001</v>
      </c>
      <c r="F51" s="96">
        <f t="shared" si="58"/>
        <v>144.33750000000001</v>
      </c>
      <c r="G51" s="338"/>
      <c r="H51" s="8"/>
      <c r="I51" s="92"/>
      <c r="J51" s="337"/>
      <c r="K51" s="8"/>
      <c r="L51" s="14"/>
      <c r="M51" s="424">
        <f t="shared" si="51"/>
        <v>-144.33750000000001</v>
      </c>
      <c r="N51" s="6">
        <f t="shared" si="52"/>
        <v>-144.33750000000001</v>
      </c>
      <c r="O51" s="143">
        <f t="shared" si="53"/>
        <v>-144.33750000000001</v>
      </c>
      <c r="P51" s="85">
        <f t="shared" si="54"/>
        <v>-144.33750000000001</v>
      </c>
      <c r="Q51" s="6">
        <f t="shared" si="55"/>
        <v>-144.33750000000001</v>
      </c>
      <c r="R51" s="96">
        <f t="shared" si="56"/>
        <v>-144.33750000000001</v>
      </c>
    </row>
    <row r="52" spans="1:18" ht="14.1" customHeight="1">
      <c r="A52" s="560"/>
      <c r="B52" s="85">
        <v>57.734999999999999</v>
      </c>
      <c r="C52" s="7">
        <v>2.5</v>
      </c>
      <c r="D52" s="36">
        <v>1</v>
      </c>
      <c r="E52" s="6">
        <f t="shared" si="57"/>
        <v>144.33750000000001</v>
      </c>
      <c r="F52" s="96">
        <f t="shared" si="58"/>
        <v>144.33750000000001</v>
      </c>
      <c r="G52" s="338"/>
      <c r="H52" s="8"/>
      <c r="I52" s="92"/>
      <c r="J52" s="337"/>
      <c r="K52" s="8"/>
      <c r="L52" s="14"/>
      <c r="M52" s="424">
        <f t="shared" si="51"/>
        <v>-144.33750000000001</v>
      </c>
      <c r="N52" s="6">
        <f t="shared" si="52"/>
        <v>-144.33750000000001</v>
      </c>
      <c r="O52" s="143">
        <f t="shared" si="53"/>
        <v>-144.33750000000001</v>
      </c>
      <c r="P52" s="85">
        <f t="shared" si="54"/>
        <v>-144.33750000000001</v>
      </c>
      <c r="Q52" s="6">
        <f t="shared" si="55"/>
        <v>-144.33750000000001</v>
      </c>
      <c r="R52" s="96">
        <f t="shared" si="56"/>
        <v>-144.33750000000001</v>
      </c>
    </row>
    <row r="53" spans="1:18" ht="14.1" customHeight="1">
      <c r="A53" s="560"/>
      <c r="B53" s="85">
        <v>57.734999999999999</v>
      </c>
      <c r="C53" s="7">
        <v>2.5</v>
      </c>
      <c r="D53" s="36">
        <v>1</v>
      </c>
      <c r="E53" s="6">
        <f t="shared" si="57"/>
        <v>144.33750000000001</v>
      </c>
      <c r="F53" s="96">
        <f t="shared" si="58"/>
        <v>144.33750000000001</v>
      </c>
      <c r="G53" s="338"/>
      <c r="H53" s="8"/>
      <c r="I53" s="92"/>
      <c r="J53" s="337"/>
      <c r="K53" s="8"/>
      <c r="L53" s="14"/>
      <c r="M53" s="424">
        <f t="shared" si="51"/>
        <v>-144.33750000000001</v>
      </c>
      <c r="N53" s="6">
        <f t="shared" si="52"/>
        <v>-144.33750000000001</v>
      </c>
      <c r="O53" s="143">
        <f t="shared" si="53"/>
        <v>-144.33750000000001</v>
      </c>
      <c r="P53" s="85">
        <f t="shared" si="54"/>
        <v>-144.33750000000001</v>
      </c>
      <c r="Q53" s="6">
        <f t="shared" si="55"/>
        <v>-144.33750000000001</v>
      </c>
      <c r="R53" s="96">
        <f t="shared" si="56"/>
        <v>-144.33750000000001</v>
      </c>
    </row>
    <row r="54" spans="1:18" ht="14.1" customHeight="1" thickBot="1">
      <c r="A54" s="561"/>
      <c r="B54" s="86">
        <v>57.734999999999999</v>
      </c>
      <c r="C54" s="21">
        <v>2.5</v>
      </c>
      <c r="D54" s="87">
        <v>1</v>
      </c>
      <c r="E54" s="17">
        <f t="shared" si="57"/>
        <v>144.33750000000001</v>
      </c>
      <c r="F54" s="97">
        <f t="shared" si="58"/>
        <v>144.33750000000001</v>
      </c>
      <c r="G54" s="340"/>
      <c r="H54" s="18"/>
      <c r="I54" s="93"/>
      <c r="J54" s="339"/>
      <c r="K54" s="18"/>
      <c r="L54" s="19"/>
      <c r="M54" s="429">
        <f t="shared" si="51"/>
        <v>-144.33750000000001</v>
      </c>
      <c r="N54" s="17">
        <f t="shared" si="52"/>
        <v>-144.33750000000001</v>
      </c>
      <c r="O54" s="144">
        <f t="shared" si="53"/>
        <v>-144.33750000000001</v>
      </c>
      <c r="P54" s="86">
        <f t="shared" si="54"/>
        <v>-144.33750000000001</v>
      </c>
      <c r="Q54" s="17">
        <f t="shared" si="55"/>
        <v>-144.33750000000001</v>
      </c>
      <c r="R54" s="97">
        <f t="shared" si="56"/>
        <v>-144.33750000000001</v>
      </c>
    </row>
    <row r="55" spans="1:18" ht="14.1" customHeight="1">
      <c r="B55" s="28" t="s">
        <v>14</v>
      </c>
      <c r="C55" s="29" t="s">
        <v>143</v>
      </c>
      <c r="D55" s="30" t="s">
        <v>0</v>
      </c>
      <c r="E55" s="31" t="s">
        <v>147</v>
      </c>
      <c r="F55" s="94" t="s">
        <v>148</v>
      </c>
      <c r="G55" s="423" t="s">
        <v>150</v>
      </c>
      <c r="H55" s="23" t="s">
        <v>151</v>
      </c>
      <c r="I55" s="187" t="s">
        <v>152</v>
      </c>
      <c r="J55" s="22" t="s">
        <v>150</v>
      </c>
      <c r="K55" s="23" t="s">
        <v>151</v>
      </c>
      <c r="L55" s="24" t="s">
        <v>152</v>
      </c>
      <c r="M55" s="425" t="s">
        <v>153</v>
      </c>
      <c r="N55" s="100" t="s">
        <v>151</v>
      </c>
      <c r="O55" s="442" t="s">
        <v>152</v>
      </c>
      <c r="P55" s="99" t="s">
        <v>153</v>
      </c>
      <c r="Q55" s="100" t="s">
        <v>151</v>
      </c>
      <c r="R55" s="101" t="s">
        <v>152</v>
      </c>
    </row>
    <row r="56" spans="1:18" ht="14.1" customHeight="1">
      <c r="B56" s="25">
        <f t="shared" ref="B56:F56" si="59">AVERAGE(B58:B67)</f>
        <v>57.734999999999999</v>
      </c>
      <c r="C56" s="26">
        <f t="shared" si="59"/>
        <v>1</v>
      </c>
      <c r="D56" s="26">
        <f t="shared" si="59"/>
        <v>1</v>
      </c>
      <c r="E56" s="26">
        <f t="shared" si="59"/>
        <v>57.734999999999999</v>
      </c>
      <c r="F56" s="27">
        <f t="shared" si="59"/>
        <v>57.734999999999999</v>
      </c>
      <c r="G56" s="195" t="e">
        <f t="shared" ref="G56:N56" si="60">AVERAGE(G58:G67)</f>
        <v>#DIV/0!</v>
      </c>
      <c r="H56" s="26" t="e">
        <f t="shared" si="60"/>
        <v>#DIV/0!</v>
      </c>
      <c r="I56" s="32" t="e">
        <f t="shared" si="60"/>
        <v>#DIV/0!</v>
      </c>
      <c r="J56" s="25" t="e">
        <f t="shared" si="60"/>
        <v>#DIV/0!</v>
      </c>
      <c r="K56" s="26" t="e">
        <f t="shared" si="60"/>
        <v>#DIV/0!</v>
      </c>
      <c r="L56" s="27" t="e">
        <f t="shared" si="60"/>
        <v>#DIV/0!</v>
      </c>
      <c r="M56" s="426">
        <f t="shared" si="60"/>
        <v>-57.734999999999999</v>
      </c>
      <c r="N56" s="146">
        <f t="shared" si="60"/>
        <v>-57.734999999999999</v>
      </c>
      <c r="O56" s="443">
        <f>AVERAGE(O58:O67)</f>
        <v>-57.734999999999999</v>
      </c>
      <c r="P56" s="145">
        <f t="shared" ref="P56" si="61">AVERAGE(P58:P67)</f>
        <v>-57.734999999999999</v>
      </c>
      <c r="Q56" s="146">
        <f>AVERAGE(Q58:Q67)</f>
        <v>-57.734999999999999</v>
      </c>
      <c r="R56" s="147">
        <f t="shared" ref="R56" si="62">AVERAGE(R58:R67)</f>
        <v>-57.734999999999999</v>
      </c>
    </row>
    <row r="57" spans="1:18" s="135" customFormat="1" ht="14.1" customHeight="1" thickBot="1">
      <c r="B57" s="136">
        <f>STDEV(B58:B67)/B56*100</f>
        <v>0</v>
      </c>
      <c r="C57" s="137">
        <f>STDEV(C58:C67)/C56*100</f>
        <v>0</v>
      </c>
      <c r="D57" s="137">
        <f>STDEV(D58:D67)/D56*100</f>
        <v>0</v>
      </c>
      <c r="E57" s="137">
        <f>STDEV(E58:E67)/F56*100</f>
        <v>0</v>
      </c>
      <c r="F57" s="148">
        <f>STDEV(F58:F67)/F56*100</f>
        <v>0</v>
      </c>
      <c r="G57" s="445" t="e">
        <f>STDEV(G58:G67)/F56*100</f>
        <v>#DIV/0!</v>
      </c>
      <c r="H57" s="141" t="e">
        <f>STDEV(H58:H67)/F56*100</f>
        <v>#DIV/0!</v>
      </c>
      <c r="I57" s="188" t="e">
        <f>STDEV(I58:I67)/F56*100</f>
        <v>#DIV/0!</v>
      </c>
      <c r="J57" s="448" t="e">
        <f>STDEV(J58:J67)/F56*100</f>
        <v>#DIV/0!</v>
      </c>
      <c r="K57" s="141" t="e">
        <f>STDEV(K58:K67)/F56*100</f>
        <v>#DIV/0!</v>
      </c>
      <c r="L57" s="142" t="e">
        <f>STDEV(L58:L67)/F56*100</f>
        <v>#DIV/0!</v>
      </c>
      <c r="M57" s="427">
        <f>100*STDEV(M58:M67)/$F$56</f>
        <v>0</v>
      </c>
      <c r="N57" s="193">
        <f t="shared" ref="N57:O57" si="63">100*STDEV(N58:N67)/$F$56</f>
        <v>0</v>
      </c>
      <c r="O57" s="444">
        <f t="shared" si="63"/>
        <v>0</v>
      </c>
      <c r="P57" s="192">
        <f>100*STDEV(P58:P67)/$F$56</f>
        <v>0</v>
      </c>
      <c r="Q57" s="193">
        <f t="shared" ref="Q57:R57" si="64">100*STDEV(Q58:Q67)/$F$56</f>
        <v>0</v>
      </c>
      <c r="R57" s="194">
        <f t="shared" si="64"/>
        <v>0</v>
      </c>
    </row>
    <row r="58" spans="1:18" ht="14.1" customHeight="1">
      <c r="A58" s="559" t="s">
        <v>35</v>
      </c>
      <c r="B58" s="9">
        <v>57.734999999999999</v>
      </c>
      <c r="C58" s="10">
        <v>1</v>
      </c>
      <c r="D58" s="10">
        <v>1</v>
      </c>
      <c r="E58" s="3">
        <f>B58*C58*D58</f>
        <v>57.734999999999999</v>
      </c>
      <c r="F58" s="95">
        <f>B58*C58</f>
        <v>57.734999999999999</v>
      </c>
      <c r="G58" s="338"/>
      <c r="H58" s="8"/>
      <c r="I58" s="92"/>
      <c r="J58" s="337"/>
      <c r="K58" s="8"/>
      <c r="L58" s="14"/>
      <c r="M58" s="428">
        <f t="shared" ref="M58:M67" si="65">(G58-E58)</f>
        <v>-57.734999999999999</v>
      </c>
      <c r="N58" s="132">
        <f t="shared" ref="N58:N67" si="66">(H58-E58)</f>
        <v>-57.734999999999999</v>
      </c>
      <c r="O58" s="190">
        <f t="shared" ref="O58:O67" si="67">(I58-E58)</f>
        <v>-57.734999999999999</v>
      </c>
      <c r="P58" s="189">
        <f t="shared" ref="P58:P67" si="68">(J58-E58)</f>
        <v>-57.734999999999999</v>
      </c>
      <c r="Q58" s="132">
        <f t="shared" ref="Q58:Q67" si="69">(K58-E58)</f>
        <v>-57.734999999999999</v>
      </c>
      <c r="R58" s="191">
        <f t="shared" ref="R58:R67" si="70">(L58-E58)</f>
        <v>-57.734999999999999</v>
      </c>
    </row>
    <row r="59" spans="1:18" ht="14.1" customHeight="1">
      <c r="A59" s="560"/>
      <c r="B59" s="85">
        <v>57.734999999999999</v>
      </c>
      <c r="C59" s="36">
        <v>1</v>
      </c>
      <c r="D59" s="36">
        <v>1</v>
      </c>
      <c r="E59" s="6">
        <f t="shared" ref="E59:E67" si="71">B59*C59*D59</f>
        <v>57.734999999999999</v>
      </c>
      <c r="F59" s="96">
        <f t="shared" ref="F59:F67" si="72">B59*C59</f>
        <v>57.734999999999999</v>
      </c>
      <c r="G59" s="338"/>
      <c r="H59" s="8"/>
      <c r="I59" s="92"/>
      <c r="J59" s="337"/>
      <c r="K59" s="8"/>
      <c r="L59" s="14"/>
      <c r="M59" s="424">
        <f t="shared" si="65"/>
        <v>-57.734999999999999</v>
      </c>
      <c r="N59" s="6">
        <f t="shared" si="66"/>
        <v>-57.734999999999999</v>
      </c>
      <c r="O59" s="143">
        <f t="shared" si="67"/>
        <v>-57.734999999999999</v>
      </c>
      <c r="P59" s="85">
        <f t="shared" si="68"/>
        <v>-57.734999999999999</v>
      </c>
      <c r="Q59" s="6">
        <f t="shared" si="69"/>
        <v>-57.734999999999999</v>
      </c>
      <c r="R59" s="96">
        <f t="shared" si="70"/>
        <v>-57.734999999999999</v>
      </c>
    </row>
    <row r="60" spans="1:18" ht="14.1" customHeight="1">
      <c r="A60" s="560"/>
      <c r="B60" s="85">
        <v>57.734999999999999</v>
      </c>
      <c r="C60" s="36">
        <v>1</v>
      </c>
      <c r="D60" s="36">
        <v>1</v>
      </c>
      <c r="E60" s="6">
        <f t="shared" si="71"/>
        <v>57.734999999999999</v>
      </c>
      <c r="F60" s="96">
        <f t="shared" si="72"/>
        <v>57.734999999999999</v>
      </c>
      <c r="G60" s="338"/>
      <c r="H60" s="8"/>
      <c r="I60" s="92"/>
      <c r="J60" s="337"/>
      <c r="K60" s="8"/>
      <c r="L60" s="14"/>
      <c r="M60" s="424">
        <f t="shared" si="65"/>
        <v>-57.734999999999999</v>
      </c>
      <c r="N60" s="6">
        <f t="shared" si="66"/>
        <v>-57.734999999999999</v>
      </c>
      <c r="O60" s="143">
        <f t="shared" si="67"/>
        <v>-57.734999999999999</v>
      </c>
      <c r="P60" s="85">
        <f t="shared" si="68"/>
        <v>-57.734999999999999</v>
      </c>
      <c r="Q60" s="6">
        <f t="shared" si="69"/>
        <v>-57.734999999999999</v>
      </c>
      <c r="R60" s="96">
        <f t="shared" si="70"/>
        <v>-57.734999999999999</v>
      </c>
    </row>
    <row r="61" spans="1:18" ht="14.1" customHeight="1">
      <c r="A61" s="560"/>
      <c r="B61" s="85">
        <v>57.734999999999999</v>
      </c>
      <c r="C61" s="36">
        <v>1</v>
      </c>
      <c r="D61" s="36">
        <v>1</v>
      </c>
      <c r="E61" s="6">
        <f t="shared" si="71"/>
        <v>57.734999999999999</v>
      </c>
      <c r="F61" s="96">
        <f t="shared" si="72"/>
        <v>57.734999999999999</v>
      </c>
      <c r="G61" s="338"/>
      <c r="H61" s="8"/>
      <c r="I61" s="92"/>
      <c r="J61" s="337"/>
      <c r="K61" s="8"/>
      <c r="L61" s="14"/>
      <c r="M61" s="424">
        <f t="shared" si="65"/>
        <v>-57.734999999999999</v>
      </c>
      <c r="N61" s="6">
        <f t="shared" si="66"/>
        <v>-57.734999999999999</v>
      </c>
      <c r="O61" s="143">
        <f t="shared" si="67"/>
        <v>-57.734999999999999</v>
      </c>
      <c r="P61" s="85">
        <f t="shared" si="68"/>
        <v>-57.734999999999999</v>
      </c>
      <c r="Q61" s="6">
        <f t="shared" si="69"/>
        <v>-57.734999999999999</v>
      </c>
      <c r="R61" s="96">
        <f t="shared" si="70"/>
        <v>-57.734999999999999</v>
      </c>
    </row>
    <row r="62" spans="1:18" ht="14.1" customHeight="1">
      <c r="A62" s="560"/>
      <c r="B62" s="85">
        <v>57.734999999999999</v>
      </c>
      <c r="C62" s="36">
        <v>1</v>
      </c>
      <c r="D62" s="36">
        <v>1</v>
      </c>
      <c r="E62" s="6">
        <f t="shared" si="71"/>
        <v>57.734999999999999</v>
      </c>
      <c r="F62" s="96">
        <f t="shared" si="72"/>
        <v>57.734999999999999</v>
      </c>
      <c r="G62" s="338"/>
      <c r="H62" s="8"/>
      <c r="I62" s="92"/>
      <c r="J62" s="337"/>
      <c r="K62" s="8"/>
      <c r="L62" s="14"/>
      <c r="M62" s="424">
        <f t="shared" si="65"/>
        <v>-57.734999999999999</v>
      </c>
      <c r="N62" s="6">
        <f t="shared" si="66"/>
        <v>-57.734999999999999</v>
      </c>
      <c r="O62" s="143">
        <f t="shared" si="67"/>
        <v>-57.734999999999999</v>
      </c>
      <c r="P62" s="85">
        <f t="shared" si="68"/>
        <v>-57.734999999999999</v>
      </c>
      <c r="Q62" s="6">
        <f t="shared" si="69"/>
        <v>-57.734999999999999</v>
      </c>
      <c r="R62" s="96">
        <f t="shared" si="70"/>
        <v>-57.734999999999999</v>
      </c>
    </row>
    <row r="63" spans="1:18" ht="14.1" customHeight="1">
      <c r="A63" s="560"/>
      <c r="B63" s="85">
        <v>57.734999999999999</v>
      </c>
      <c r="C63" s="36">
        <v>1</v>
      </c>
      <c r="D63" s="36">
        <v>1</v>
      </c>
      <c r="E63" s="6">
        <f t="shared" si="71"/>
        <v>57.734999999999999</v>
      </c>
      <c r="F63" s="96">
        <f t="shared" si="72"/>
        <v>57.734999999999999</v>
      </c>
      <c r="G63" s="338"/>
      <c r="H63" s="8"/>
      <c r="I63" s="92"/>
      <c r="J63" s="337"/>
      <c r="K63" s="8"/>
      <c r="L63" s="14"/>
      <c r="M63" s="424">
        <f t="shared" si="65"/>
        <v>-57.734999999999999</v>
      </c>
      <c r="N63" s="6">
        <f t="shared" si="66"/>
        <v>-57.734999999999999</v>
      </c>
      <c r="O63" s="143">
        <f t="shared" si="67"/>
        <v>-57.734999999999999</v>
      </c>
      <c r="P63" s="85">
        <f t="shared" si="68"/>
        <v>-57.734999999999999</v>
      </c>
      <c r="Q63" s="6">
        <f t="shared" si="69"/>
        <v>-57.734999999999999</v>
      </c>
      <c r="R63" s="96">
        <f t="shared" si="70"/>
        <v>-57.734999999999999</v>
      </c>
    </row>
    <row r="64" spans="1:18" ht="14.1" customHeight="1">
      <c r="A64" s="560"/>
      <c r="B64" s="85">
        <v>57.734999999999999</v>
      </c>
      <c r="C64" s="36">
        <v>1</v>
      </c>
      <c r="D64" s="36">
        <v>1</v>
      </c>
      <c r="E64" s="6">
        <f t="shared" si="71"/>
        <v>57.734999999999999</v>
      </c>
      <c r="F64" s="96">
        <f t="shared" si="72"/>
        <v>57.734999999999999</v>
      </c>
      <c r="G64" s="338"/>
      <c r="H64" s="8"/>
      <c r="I64" s="92"/>
      <c r="J64" s="337"/>
      <c r="K64" s="8"/>
      <c r="L64" s="14"/>
      <c r="M64" s="424">
        <f t="shared" si="65"/>
        <v>-57.734999999999999</v>
      </c>
      <c r="N64" s="6">
        <f t="shared" si="66"/>
        <v>-57.734999999999999</v>
      </c>
      <c r="O64" s="143">
        <f t="shared" si="67"/>
        <v>-57.734999999999999</v>
      </c>
      <c r="P64" s="85">
        <f t="shared" si="68"/>
        <v>-57.734999999999999</v>
      </c>
      <c r="Q64" s="6">
        <f t="shared" si="69"/>
        <v>-57.734999999999999</v>
      </c>
      <c r="R64" s="96">
        <f t="shared" si="70"/>
        <v>-57.734999999999999</v>
      </c>
    </row>
    <row r="65" spans="1:18" ht="14.1" customHeight="1">
      <c r="A65" s="560"/>
      <c r="B65" s="85">
        <v>57.734999999999999</v>
      </c>
      <c r="C65" s="36">
        <v>1</v>
      </c>
      <c r="D65" s="36">
        <v>1</v>
      </c>
      <c r="E65" s="6">
        <f t="shared" si="71"/>
        <v>57.734999999999999</v>
      </c>
      <c r="F65" s="96">
        <f t="shared" si="72"/>
        <v>57.734999999999999</v>
      </c>
      <c r="G65" s="338"/>
      <c r="H65" s="8"/>
      <c r="I65" s="92"/>
      <c r="J65" s="337"/>
      <c r="K65" s="8"/>
      <c r="L65" s="14"/>
      <c r="M65" s="424">
        <f t="shared" si="65"/>
        <v>-57.734999999999999</v>
      </c>
      <c r="N65" s="6">
        <f t="shared" si="66"/>
        <v>-57.734999999999999</v>
      </c>
      <c r="O65" s="143">
        <f t="shared" si="67"/>
        <v>-57.734999999999999</v>
      </c>
      <c r="P65" s="85">
        <f t="shared" si="68"/>
        <v>-57.734999999999999</v>
      </c>
      <c r="Q65" s="6">
        <f t="shared" si="69"/>
        <v>-57.734999999999999</v>
      </c>
      <c r="R65" s="96">
        <f t="shared" si="70"/>
        <v>-57.734999999999999</v>
      </c>
    </row>
    <row r="66" spans="1:18" ht="14.1" customHeight="1">
      <c r="A66" s="560"/>
      <c r="B66" s="85">
        <v>57.734999999999999</v>
      </c>
      <c r="C66" s="36">
        <v>1</v>
      </c>
      <c r="D66" s="36">
        <v>1</v>
      </c>
      <c r="E66" s="6">
        <f t="shared" si="71"/>
        <v>57.734999999999999</v>
      </c>
      <c r="F66" s="96">
        <f t="shared" si="72"/>
        <v>57.734999999999999</v>
      </c>
      <c r="G66" s="338"/>
      <c r="H66" s="8"/>
      <c r="I66" s="92"/>
      <c r="J66" s="337"/>
      <c r="K66" s="8"/>
      <c r="L66" s="14"/>
      <c r="M66" s="424">
        <f t="shared" si="65"/>
        <v>-57.734999999999999</v>
      </c>
      <c r="N66" s="6">
        <f t="shared" si="66"/>
        <v>-57.734999999999999</v>
      </c>
      <c r="O66" s="143">
        <f t="shared" si="67"/>
        <v>-57.734999999999999</v>
      </c>
      <c r="P66" s="85">
        <f t="shared" si="68"/>
        <v>-57.734999999999999</v>
      </c>
      <c r="Q66" s="6">
        <f t="shared" si="69"/>
        <v>-57.734999999999999</v>
      </c>
      <c r="R66" s="96">
        <f t="shared" si="70"/>
        <v>-57.734999999999999</v>
      </c>
    </row>
    <row r="67" spans="1:18" ht="14.1" customHeight="1" thickBot="1">
      <c r="A67" s="561"/>
      <c r="B67" s="86">
        <v>57.734999999999999</v>
      </c>
      <c r="C67" s="87">
        <v>1</v>
      </c>
      <c r="D67" s="87">
        <v>1</v>
      </c>
      <c r="E67" s="17">
        <f t="shared" si="71"/>
        <v>57.734999999999999</v>
      </c>
      <c r="F67" s="97">
        <f t="shared" si="72"/>
        <v>57.734999999999999</v>
      </c>
      <c r="G67" s="340"/>
      <c r="H67" s="18"/>
      <c r="I67" s="93"/>
      <c r="J67" s="339"/>
      <c r="K67" s="18"/>
      <c r="L67" s="19"/>
      <c r="M67" s="429">
        <f t="shared" si="65"/>
        <v>-57.734999999999999</v>
      </c>
      <c r="N67" s="17">
        <f t="shared" si="66"/>
        <v>-57.734999999999999</v>
      </c>
      <c r="O67" s="144">
        <f t="shared" si="67"/>
        <v>-57.734999999999999</v>
      </c>
      <c r="P67" s="86">
        <f t="shared" si="68"/>
        <v>-57.734999999999999</v>
      </c>
      <c r="Q67" s="17">
        <f t="shared" si="69"/>
        <v>-57.734999999999999</v>
      </c>
      <c r="R67" s="97">
        <f t="shared" si="70"/>
        <v>-57.734999999999999</v>
      </c>
    </row>
    <row r="68" spans="1:18" ht="14.1" customHeight="1">
      <c r="B68" s="28" t="s">
        <v>14</v>
      </c>
      <c r="C68" s="29" t="s">
        <v>143</v>
      </c>
      <c r="D68" s="30" t="s">
        <v>0</v>
      </c>
      <c r="E68" s="31" t="s">
        <v>147</v>
      </c>
      <c r="F68" s="94" t="s">
        <v>148</v>
      </c>
      <c r="G68" s="423" t="s">
        <v>150</v>
      </c>
      <c r="H68" s="23" t="s">
        <v>151</v>
      </c>
      <c r="I68" s="187" t="s">
        <v>152</v>
      </c>
      <c r="J68" s="22" t="s">
        <v>150</v>
      </c>
      <c r="K68" s="23" t="s">
        <v>151</v>
      </c>
      <c r="L68" s="24" t="s">
        <v>152</v>
      </c>
      <c r="M68" s="425" t="s">
        <v>153</v>
      </c>
      <c r="N68" s="100" t="s">
        <v>151</v>
      </c>
      <c r="O68" s="442" t="s">
        <v>152</v>
      </c>
      <c r="P68" s="99" t="s">
        <v>153</v>
      </c>
      <c r="Q68" s="100" t="s">
        <v>151</v>
      </c>
      <c r="R68" s="101" t="s">
        <v>152</v>
      </c>
    </row>
    <row r="69" spans="1:18" ht="14.1" customHeight="1">
      <c r="B69" s="25">
        <f t="shared" ref="B69:F69" si="73">AVERAGE(B71:B80)</f>
        <v>57.734999999999999</v>
      </c>
      <c r="C69" s="26">
        <f t="shared" si="73"/>
        <v>0.5</v>
      </c>
      <c r="D69" s="26">
        <f t="shared" si="73"/>
        <v>1</v>
      </c>
      <c r="E69" s="26">
        <f t="shared" si="73"/>
        <v>28.8675</v>
      </c>
      <c r="F69" s="27">
        <f t="shared" si="73"/>
        <v>28.8675</v>
      </c>
      <c r="G69" s="195" t="e">
        <f t="shared" ref="G69:N69" si="74">AVERAGE(G71:G80)</f>
        <v>#DIV/0!</v>
      </c>
      <c r="H69" s="26" t="e">
        <f t="shared" si="74"/>
        <v>#DIV/0!</v>
      </c>
      <c r="I69" s="32" t="e">
        <f t="shared" si="74"/>
        <v>#DIV/0!</v>
      </c>
      <c r="J69" s="25" t="e">
        <f t="shared" si="74"/>
        <v>#DIV/0!</v>
      </c>
      <c r="K69" s="26" t="e">
        <f t="shared" si="74"/>
        <v>#DIV/0!</v>
      </c>
      <c r="L69" s="27" t="e">
        <f t="shared" si="74"/>
        <v>#DIV/0!</v>
      </c>
      <c r="M69" s="426">
        <f t="shared" si="74"/>
        <v>-28.8675</v>
      </c>
      <c r="N69" s="146">
        <f t="shared" si="74"/>
        <v>-28.8675</v>
      </c>
      <c r="O69" s="443">
        <f>AVERAGE(O71:O80)</f>
        <v>-28.8675</v>
      </c>
      <c r="P69" s="145">
        <f t="shared" ref="P69" si="75">AVERAGE(P71:P80)</f>
        <v>-28.8675</v>
      </c>
      <c r="Q69" s="146">
        <f>AVERAGE(Q71:Q80)</f>
        <v>-28.8675</v>
      </c>
      <c r="R69" s="147">
        <f t="shared" ref="R69" si="76">AVERAGE(R71:R80)</f>
        <v>-28.8675</v>
      </c>
    </row>
    <row r="70" spans="1:18" s="135" customFormat="1" ht="14.1" customHeight="1" thickBot="1">
      <c r="B70" s="136">
        <f>STDEV(B71:B80)/B69*100</f>
        <v>0</v>
      </c>
      <c r="C70" s="137">
        <f>STDEV(C71:C80)/C69*100</f>
        <v>0</v>
      </c>
      <c r="D70" s="137">
        <f>STDEV(D71:D80)/D69*100</f>
        <v>0</v>
      </c>
      <c r="E70" s="137">
        <f>STDEV(E71:E80)/F69*100</f>
        <v>0</v>
      </c>
      <c r="F70" s="148">
        <f>STDEV(F71:F80)/F69*100</f>
        <v>0</v>
      </c>
      <c r="G70" s="445" t="e">
        <f>STDEV(G71:G80)/F69*100</f>
        <v>#DIV/0!</v>
      </c>
      <c r="H70" s="141" t="e">
        <f>STDEV(H71:H80)/F69*100</f>
        <v>#DIV/0!</v>
      </c>
      <c r="I70" s="188" t="e">
        <f>STDEV(I71:I80)/F69*100</f>
        <v>#DIV/0!</v>
      </c>
      <c r="J70" s="448" t="e">
        <f>STDEV(J71:J80)/F69*100</f>
        <v>#DIV/0!</v>
      </c>
      <c r="K70" s="141" t="e">
        <f>STDEV(K71:K80)/F69*100</f>
        <v>#DIV/0!</v>
      </c>
      <c r="L70" s="142" t="e">
        <f>STDEV(L71:L80)/F69*100</f>
        <v>#DIV/0!</v>
      </c>
      <c r="M70" s="427">
        <f>100*STDEV(M71:M80)/$F$69</f>
        <v>0</v>
      </c>
      <c r="N70" s="193">
        <f t="shared" ref="N70:O70" si="77">100*STDEV(N71:N80)/$F$69</f>
        <v>0</v>
      </c>
      <c r="O70" s="444">
        <f t="shared" si="77"/>
        <v>0</v>
      </c>
      <c r="P70" s="192">
        <f>100*STDEV(P71:P80)/$F$69</f>
        <v>0</v>
      </c>
      <c r="Q70" s="193">
        <f t="shared" ref="Q70:R70" si="78">100*STDEV(Q71:Q80)/$F$69</f>
        <v>0</v>
      </c>
      <c r="R70" s="194">
        <f t="shared" si="78"/>
        <v>0</v>
      </c>
    </row>
    <row r="71" spans="1:18" ht="14.1" customHeight="1">
      <c r="A71" s="559" t="s">
        <v>36</v>
      </c>
      <c r="B71" s="9">
        <v>57.734999999999999</v>
      </c>
      <c r="C71" s="34">
        <v>0.5</v>
      </c>
      <c r="D71" s="10">
        <v>1</v>
      </c>
      <c r="E71" s="3">
        <f>B71*C71*D71</f>
        <v>28.8675</v>
      </c>
      <c r="F71" s="95">
        <f>B71*C71</f>
        <v>28.8675</v>
      </c>
      <c r="G71" s="447"/>
      <c r="H71" s="12"/>
      <c r="I71" s="91"/>
      <c r="J71" s="449"/>
      <c r="K71" s="12"/>
      <c r="L71" s="13"/>
      <c r="M71" s="428">
        <f t="shared" ref="M71:M80" si="79">(G71-E71)</f>
        <v>-28.8675</v>
      </c>
      <c r="N71" s="132">
        <f t="shared" ref="N71:N80" si="80">(H71-E71)</f>
        <v>-28.8675</v>
      </c>
      <c r="O71" s="190">
        <f t="shared" ref="O71:O80" si="81">(I71-E71)</f>
        <v>-28.8675</v>
      </c>
      <c r="P71" s="189">
        <f t="shared" ref="P71:P80" si="82">(J71-E71)</f>
        <v>-28.8675</v>
      </c>
      <c r="Q71" s="132">
        <f t="shared" ref="Q71:Q80" si="83">(K71-E71)</f>
        <v>-28.8675</v>
      </c>
      <c r="R71" s="191">
        <f t="shared" ref="R71:R80" si="84">(L71-E71)</f>
        <v>-28.8675</v>
      </c>
    </row>
    <row r="72" spans="1:18" ht="14.1" customHeight="1">
      <c r="A72" s="560"/>
      <c r="B72" s="85">
        <v>57.734999999999999</v>
      </c>
      <c r="C72" s="7">
        <v>0.5</v>
      </c>
      <c r="D72" s="36">
        <v>1</v>
      </c>
      <c r="E72" s="6">
        <f t="shared" ref="E72:E80" si="85">B72*C72*D72</f>
        <v>28.8675</v>
      </c>
      <c r="F72" s="96">
        <f t="shared" ref="F72:F80" si="86">B72*C72</f>
        <v>28.8675</v>
      </c>
      <c r="G72" s="338"/>
      <c r="H72" s="8"/>
      <c r="I72" s="92"/>
      <c r="J72" s="337"/>
      <c r="K72" s="8"/>
      <c r="L72" s="14"/>
      <c r="M72" s="424">
        <f t="shared" si="79"/>
        <v>-28.8675</v>
      </c>
      <c r="N72" s="6">
        <f t="shared" si="80"/>
        <v>-28.8675</v>
      </c>
      <c r="O72" s="143">
        <f t="shared" si="81"/>
        <v>-28.8675</v>
      </c>
      <c r="P72" s="85">
        <f t="shared" si="82"/>
        <v>-28.8675</v>
      </c>
      <c r="Q72" s="6">
        <f t="shared" si="83"/>
        <v>-28.8675</v>
      </c>
      <c r="R72" s="96">
        <f t="shared" si="84"/>
        <v>-28.8675</v>
      </c>
    </row>
    <row r="73" spans="1:18" ht="14.1" customHeight="1">
      <c r="A73" s="560"/>
      <c r="B73" s="85">
        <v>57.734999999999999</v>
      </c>
      <c r="C73" s="7">
        <v>0.5</v>
      </c>
      <c r="D73" s="36">
        <v>1</v>
      </c>
      <c r="E73" s="6">
        <f t="shared" si="85"/>
        <v>28.8675</v>
      </c>
      <c r="F73" s="96">
        <f t="shared" si="86"/>
        <v>28.8675</v>
      </c>
      <c r="G73" s="338"/>
      <c r="H73" s="8"/>
      <c r="I73" s="92"/>
      <c r="J73" s="337"/>
      <c r="K73" s="8"/>
      <c r="L73" s="14"/>
      <c r="M73" s="424">
        <f t="shared" si="79"/>
        <v>-28.8675</v>
      </c>
      <c r="N73" s="6">
        <f t="shared" si="80"/>
        <v>-28.8675</v>
      </c>
      <c r="O73" s="143">
        <f t="shared" si="81"/>
        <v>-28.8675</v>
      </c>
      <c r="P73" s="85">
        <f t="shared" si="82"/>
        <v>-28.8675</v>
      </c>
      <c r="Q73" s="6">
        <f t="shared" si="83"/>
        <v>-28.8675</v>
      </c>
      <c r="R73" s="96">
        <f t="shared" si="84"/>
        <v>-28.8675</v>
      </c>
    </row>
    <row r="74" spans="1:18" ht="14.1" customHeight="1">
      <c r="A74" s="560"/>
      <c r="B74" s="85">
        <v>57.734999999999999</v>
      </c>
      <c r="C74" s="7">
        <v>0.5</v>
      </c>
      <c r="D74" s="36">
        <v>1</v>
      </c>
      <c r="E74" s="6">
        <f t="shared" si="85"/>
        <v>28.8675</v>
      </c>
      <c r="F74" s="96">
        <f t="shared" si="86"/>
        <v>28.8675</v>
      </c>
      <c r="G74" s="338"/>
      <c r="H74" s="8"/>
      <c r="I74" s="92"/>
      <c r="J74" s="337"/>
      <c r="K74" s="8"/>
      <c r="L74" s="14"/>
      <c r="M74" s="424">
        <f t="shared" si="79"/>
        <v>-28.8675</v>
      </c>
      <c r="N74" s="6">
        <f t="shared" si="80"/>
        <v>-28.8675</v>
      </c>
      <c r="O74" s="143">
        <f t="shared" si="81"/>
        <v>-28.8675</v>
      </c>
      <c r="P74" s="85">
        <f t="shared" si="82"/>
        <v>-28.8675</v>
      </c>
      <c r="Q74" s="6">
        <f t="shared" si="83"/>
        <v>-28.8675</v>
      </c>
      <c r="R74" s="96">
        <f t="shared" si="84"/>
        <v>-28.8675</v>
      </c>
    </row>
    <row r="75" spans="1:18" ht="14.1" customHeight="1">
      <c r="A75" s="560"/>
      <c r="B75" s="85">
        <v>57.734999999999999</v>
      </c>
      <c r="C75" s="7">
        <v>0.5</v>
      </c>
      <c r="D75" s="36">
        <v>1</v>
      </c>
      <c r="E75" s="6">
        <f t="shared" si="85"/>
        <v>28.8675</v>
      </c>
      <c r="F75" s="96">
        <f t="shared" si="86"/>
        <v>28.8675</v>
      </c>
      <c r="G75" s="338"/>
      <c r="H75" s="8"/>
      <c r="I75" s="92"/>
      <c r="J75" s="337"/>
      <c r="K75" s="8"/>
      <c r="L75" s="14"/>
      <c r="M75" s="424">
        <f t="shared" si="79"/>
        <v>-28.8675</v>
      </c>
      <c r="N75" s="6">
        <f t="shared" si="80"/>
        <v>-28.8675</v>
      </c>
      <c r="O75" s="143">
        <f t="shared" si="81"/>
        <v>-28.8675</v>
      </c>
      <c r="P75" s="85">
        <f t="shared" si="82"/>
        <v>-28.8675</v>
      </c>
      <c r="Q75" s="6">
        <f t="shared" si="83"/>
        <v>-28.8675</v>
      </c>
      <c r="R75" s="96">
        <f t="shared" si="84"/>
        <v>-28.8675</v>
      </c>
    </row>
    <row r="76" spans="1:18" ht="14.1" customHeight="1">
      <c r="A76" s="560"/>
      <c r="B76" s="85">
        <v>57.734999999999999</v>
      </c>
      <c r="C76" s="7">
        <v>0.5</v>
      </c>
      <c r="D76" s="36">
        <v>1</v>
      </c>
      <c r="E76" s="6">
        <f t="shared" si="85"/>
        <v>28.8675</v>
      </c>
      <c r="F76" s="96">
        <f t="shared" si="86"/>
        <v>28.8675</v>
      </c>
      <c r="G76" s="338"/>
      <c r="H76" s="8"/>
      <c r="I76" s="92"/>
      <c r="J76" s="337"/>
      <c r="K76" s="8"/>
      <c r="L76" s="14"/>
      <c r="M76" s="424">
        <f t="shared" si="79"/>
        <v>-28.8675</v>
      </c>
      <c r="N76" s="6">
        <f t="shared" si="80"/>
        <v>-28.8675</v>
      </c>
      <c r="O76" s="143">
        <f t="shared" si="81"/>
        <v>-28.8675</v>
      </c>
      <c r="P76" s="85">
        <f t="shared" si="82"/>
        <v>-28.8675</v>
      </c>
      <c r="Q76" s="6">
        <f t="shared" si="83"/>
        <v>-28.8675</v>
      </c>
      <c r="R76" s="96">
        <f t="shared" si="84"/>
        <v>-28.8675</v>
      </c>
    </row>
    <row r="77" spans="1:18" ht="14.1" customHeight="1">
      <c r="A77" s="560"/>
      <c r="B77" s="85">
        <v>57.734999999999999</v>
      </c>
      <c r="C77" s="7">
        <v>0.5</v>
      </c>
      <c r="D77" s="36">
        <v>1</v>
      </c>
      <c r="E77" s="6">
        <f t="shared" si="85"/>
        <v>28.8675</v>
      </c>
      <c r="F77" s="96">
        <f t="shared" si="86"/>
        <v>28.8675</v>
      </c>
      <c r="G77" s="338"/>
      <c r="H77" s="8"/>
      <c r="I77" s="92"/>
      <c r="J77" s="337"/>
      <c r="K77" s="8"/>
      <c r="L77" s="14"/>
      <c r="M77" s="424">
        <f t="shared" si="79"/>
        <v>-28.8675</v>
      </c>
      <c r="N77" s="6">
        <f t="shared" si="80"/>
        <v>-28.8675</v>
      </c>
      <c r="O77" s="143">
        <f t="shared" si="81"/>
        <v>-28.8675</v>
      </c>
      <c r="P77" s="85">
        <f t="shared" si="82"/>
        <v>-28.8675</v>
      </c>
      <c r="Q77" s="6">
        <f t="shared" si="83"/>
        <v>-28.8675</v>
      </c>
      <c r="R77" s="96">
        <f t="shared" si="84"/>
        <v>-28.8675</v>
      </c>
    </row>
    <row r="78" spans="1:18" ht="14.1" customHeight="1">
      <c r="A78" s="560"/>
      <c r="B78" s="85">
        <v>57.734999999999999</v>
      </c>
      <c r="C78" s="7">
        <v>0.5</v>
      </c>
      <c r="D78" s="36">
        <v>1</v>
      </c>
      <c r="E78" s="6">
        <f t="shared" si="85"/>
        <v>28.8675</v>
      </c>
      <c r="F78" s="96">
        <f t="shared" si="86"/>
        <v>28.8675</v>
      </c>
      <c r="G78" s="338"/>
      <c r="H78" s="8"/>
      <c r="I78" s="92"/>
      <c r="J78" s="337"/>
      <c r="K78" s="8"/>
      <c r="L78" s="14"/>
      <c r="M78" s="424">
        <f t="shared" si="79"/>
        <v>-28.8675</v>
      </c>
      <c r="N78" s="6">
        <f t="shared" si="80"/>
        <v>-28.8675</v>
      </c>
      <c r="O78" s="143">
        <f t="shared" si="81"/>
        <v>-28.8675</v>
      </c>
      <c r="P78" s="85">
        <f t="shared" si="82"/>
        <v>-28.8675</v>
      </c>
      <c r="Q78" s="6">
        <f t="shared" si="83"/>
        <v>-28.8675</v>
      </c>
      <c r="R78" s="96">
        <f t="shared" si="84"/>
        <v>-28.8675</v>
      </c>
    </row>
    <row r="79" spans="1:18" ht="14.1" customHeight="1">
      <c r="A79" s="560"/>
      <c r="B79" s="85">
        <v>57.734999999999999</v>
      </c>
      <c r="C79" s="7">
        <v>0.5</v>
      </c>
      <c r="D79" s="36">
        <v>1</v>
      </c>
      <c r="E79" s="6">
        <f t="shared" si="85"/>
        <v>28.8675</v>
      </c>
      <c r="F79" s="96">
        <f t="shared" si="86"/>
        <v>28.8675</v>
      </c>
      <c r="G79" s="338"/>
      <c r="H79" s="8"/>
      <c r="I79" s="92"/>
      <c r="J79" s="337"/>
      <c r="K79" s="8"/>
      <c r="L79" s="14"/>
      <c r="M79" s="424">
        <f t="shared" si="79"/>
        <v>-28.8675</v>
      </c>
      <c r="N79" s="6">
        <f t="shared" si="80"/>
        <v>-28.8675</v>
      </c>
      <c r="O79" s="143">
        <f t="shared" si="81"/>
        <v>-28.8675</v>
      </c>
      <c r="P79" s="85">
        <f t="shared" si="82"/>
        <v>-28.8675</v>
      </c>
      <c r="Q79" s="6">
        <f t="shared" si="83"/>
        <v>-28.8675</v>
      </c>
      <c r="R79" s="96">
        <f t="shared" si="84"/>
        <v>-28.8675</v>
      </c>
    </row>
    <row r="80" spans="1:18" ht="14.1" customHeight="1" thickBot="1">
      <c r="A80" s="561"/>
      <c r="B80" s="86">
        <v>57.734999999999999</v>
      </c>
      <c r="C80" s="21">
        <v>0.5</v>
      </c>
      <c r="D80" s="87">
        <v>1</v>
      </c>
      <c r="E80" s="17">
        <f t="shared" si="85"/>
        <v>28.8675</v>
      </c>
      <c r="F80" s="97">
        <f t="shared" si="86"/>
        <v>28.8675</v>
      </c>
      <c r="G80" s="340"/>
      <c r="H80" s="18"/>
      <c r="I80" s="93"/>
      <c r="J80" s="339"/>
      <c r="K80" s="18"/>
      <c r="L80" s="19"/>
      <c r="M80" s="429">
        <f t="shared" si="79"/>
        <v>-28.8675</v>
      </c>
      <c r="N80" s="17">
        <f t="shared" si="80"/>
        <v>-28.8675</v>
      </c>
      <c r="O80" s="144">
        <f t="shared" si="81"/>
        <v>-28.8675</v>
      </c>
      <c r="P80" s="86">
        <f t="shared" si="82"/>
        <v>-28.8675</v>
      </c>
      <c r="Q80" s="17">
        <f t="shared" si="83"/>
        <v>-28.8675</v>
      </c>
      <c r="R80" s="97">
        <f t="shared" si="84"/>
        <v>-28.8675</v>
      </c>
    </row>
    <row r="81" spans="1:18" ht="14.1" customHeight="1">
      <c r="B81" s="28" t="s">
        <v>14</v>
      </c>
      <c r="C81" s="29" t="s">
        <v>143</v>
      </c>
      <c r="D81" s="30" t="s">
        <v>0</v>
      </c>
      <c r="E81" s="31" t="s">
        <v>147</v>
      </c>
      <c r="F81" s="94" t="s">
        <v>148</v>
      </c>
      <c r="G81" s="423" t="s">
        <v>150</v>
      </c>
      <c r="H81" s="23" t="s">
        <v>151</v>
      </c>
      <c r="I81" s="187" t="s">
        <v>152</v>
      </c>
      <c r="J81" s="22" t="s">
        <v>150</v>
      </c>
      <c r="K81" s="23" t="s">
        <v>151</v>
      </c>
      <c r="L81" s="24" t="s">
        <v>152</v>
      </c>
      <c r="M81" s="425" t="s">
        <v>153</v>
      </c>
      <c r="N81" s="100" t="s">
        <v>151</v>
      </c>
      <c r="O81" s="442" t="s">
        <v>152</v>
      </c>
      <c r="P81" s="99" t="s">
        <v>153</v>
      </c>
      <c r="Q81" s="100" t="s">
        <v>151</v>
      </c>
      <c r="R81" s="101" t="s">
        <v>152</v>
      </c>
    </row>
    <row r="82" spans="1:18" ht="14.1" customHeight="1">
      <c r="B82" s="25">
        <f t="shared" ref="B82:F82" si="87">AVERAGE(B84:B93)</f>
        <v>57.734999999999999</v>
      </c>
      <c r="C82" s="26">
        <f t="shared" si="87"/>
        <v>0.25</v>
      </c>
      <c r="D82" s="26">
        <f t="shared" si="87"/>
        <v>1</v>
      </c>
      <c r="E82" s="26">
        <f t="shared" si="87"/>
        <v>14.43375</v>
      </c>
      <c r="F82" s="27">
        <f t="shared" si="87"/>
        <v>14.43375</v>
      </c>
      <c r="G82" s="195" t="e">
        <f t="shared" ref="G82:N82" si="88">AVERAGE(G84:G93)</f>
        <v>#DIV/0!</v>
      </c>
      <c r="H82" s="26" t="e">
        <f t="shared" si="88"/>
        <v>#DIV/0!</v>
      </c>
      <c r="I82" s="32" t="e">
        <f t="shared" si="88"/>
        <v>#DIV/0!</v>
      </c>
      <c r="J82" s="25" t="e">
        <f t="shared" si="88"/>
        <v>#DIV/0!</v>
      </c>
      <c r="K82" s="26" t="e">
        <f t="shared" si="88"/>
        <v>#DIV/0!</v>
      </c>
      <c r="L82" s="27" t="e">
        <f t="shared" si="88"/>
        <v>#DIV/0!</v>
      </c>
      <c r="M82" s="426">
        <f t="shared" si="88"/>
        <v>-14.43375</v>
      </c>
      <c r="N82" s="146">
        <f t="shared" si="88"/>
        <v>-14.43375</v>
      </c>
      <c r="O82" s="443">
        <f>AVERAGE(O84:O93)</f>
        <v>-14.43375</v>
      </c>
      <c r="P82" s="145">
        <f t="shared" ref="P82" si="89">AVERAGE(P84:P93)</f>
        <v>-14.43375</v>
      </c>
      <c r="Q82" s="146">
        <f>AVERAGE(Q84:Q93)</f>
        <v>-14.43375</v>
      </c>
      <c r="R82" s="147">
        <f t="shared" ref="R82" si="90">AVERAGE(R84:R93)</f>
        <v>-14.43375</v>
      </c>
    </row>
    <row r="83" spans="1:18" s="135" customFormat="1" ht="14.1" customHeight="1" thickBot="1">
      <c r="B83" s="136">
        <f>STDEV(B84:B93)/B82*100</f>
        <v>0</v>
      </c>
      <c r="C83" s="137">
        <f>STDEV(C84:C93)/C82*100</f>
        <v>0</v>
      </c>
      <c r="D83" s="137">
        <f>STDEV(D84:D93)/D82*100</f>
        <v>0</v>
      </c>
      <c r="E83" s="137">
        <f>STDEV(E84:E93)/F82*100</f>
        <v>0</v>
      </c>
      <c r="F83" s="148">
        <f>STDEV(F84:F93)/F82*100</f>
        <v>0</v>
      </c>
      <c r="G83" s="445" t="e">
        <f>STDEV(G84:G93)/F82*100</f>
        <v>#DIV/0!</v>
      </c>
      <c r="H83" s="141" t="e">
        <f>STDEV(H84:H93)/F82*100</f>
        <v>#DIV/0!</v>
      </c>
      <c r="I83" s="188" t="e">
        <f>STDEV(I84:I93)/F82*100</f>
        <v>#DIV/0!</v>
      </c>
      <c r="J83" s="448" t="e">
        <f>STDEV(J84:J93)/F82*100</f>
        <v>#DIV/0!</v>
      </c>
      <c r="K83" s="141" t="e">
        <f>STDEV(K84:K93)/F82*100</f>
        <v>#DIV/0!</v>
      </c>
      <c r="L83" s="142" t="e">
        <f>STDEV(L84:L93)/F82*100</f>
        <v>#DIV/0!</v>
      </c>
      <c r="M83" s="427">
        <f>100*STDEV(M84:M93)/$F$82</f>
        <v>0</v>
      </c>
      <c r="N83" s="193">
        <f t="shared" ref="N83:O83" si="91">100*STDEV(N84:N93)/$F$82</f>
        <v>0</v>
      </c>
      <c r="O83" s="444">
        <f t="shared" si="91"/>
        <v>0</v>
      </c>
      <c r="P83" s="192">
        <f>100*STDEV(P84:P93)/$F$82</f>
        <v>0</v>
      </c>
      <c r="Q83" s="193">
        <f t="shared" ref="Q83:R83" si="92">100*STDEV(Q84:Q93)/$F$82</f>
        <v>0</v>
      </c>
      <c r="R83" s="194">
        <f t="shared" si="92"/>
        <v>0</v>
      </c>
    </row>
    <row r="84" spans="1:18" ht="14.1" customHeight="1">
      <c r="A84" s="559" t="s">
        <v>37</v>
      </c>
      <c r="B84" s="9">
        <v>57.734999999999999</v>
      </c>
      <c r="C84" s="88">
        <v>0.25</v>
      </c>
      <c r="D84" s="10">
        <v>1</v>
      </c>
      <c r="E84" s="3">
        <f>B84*C84*D84</f>
        <v>14.43375</v>
      </c>
      <c r="F84" s="95">
        <f>B84*C84</f>
        <v>14.43375</v>
      </c>
      <c r="G84" s="447"/>
      <c r="H84" s="12"/>
      <c r="I84" s="91"/>
      <c r="J84" s="449"/>
      <c r="K84" s="12"/>
      <c r="L84" s="13"/>
      <c r="M84" s="424">
        <f t="shared" ref="M84:M93" si="93">(G84-E84)</f>
        <v>-14.43375</v>
      </c>
      <c r="N84" s="6">
        <f t="shared" ref="N84:N93" si="94">(H84-E84)</f>
        <v>-14.43375</v>
      </c>
      <c r="O84" s="143">
        <f t="shared" ref="O84:O93" si="95">(I84-E84)</f>
        <v>-14.43375</v>
      </c>
      <c r="P84" s="85">
        <f t="shared" ref="P84:P93" si="96">(J84-E84)</f>
        <v>-14.43375</v>
      </c>
      <c r="Q84" s="6">
        <f t="shared" ref="Q84:Q93" si="97">(K84-E84)</f>
        <v>-14.43375</v>
      </c>
      <c r="R84" s="96">
        <f t="shared" ref="R84:R93" si="98">(L84-E84)</f>
        <v>-14.43375</v>
      </c>
    </row>
    <row r="85" spans="1:18" ht="14.1" customHeight="1">
      <c r="A85" s="560"/>
      <c r="B85" s="85">
        <v>57.734999999999999</v>
      </c>
      <c r="C85" s="35">
        <v>0.25</v>
      </c>
      <c r="D85" s="36">
        <v>1</v>
      </c>
      <c r="E85" s="6">
        <f t="shared" ref="E85:E93" si="99">B85*C85*D85</f>
        <v>14.43375</v>
      </c>
      <c r="F85" s="96">
        <f t="shared" ref="F85:F93" si="100">B85*C85</f>
        <v>14.43375</v>
      </c>
      <c r="G85" s="338"/>
      <c r="H85" s="8"/>
      <c r="I85" s="92"/>
      <c r="J85" s="337"/>
      <c r="K85" s="8"/>
      <c r="L85" s="14"/>
      <c r="M85" s="424">
        <f t="shared" si="93"/>
        <v>-14.43375</v>
      </c>
      <c r="N85" s="6">
        <f t="shared" si="94"/>
        <v>-14.43375</v>
      </c>
      <c r="O85" s="143">
        <f t="shared" si="95"/>
        <v>-14.43375</v>
      </c>
      <c r="P85" s="85">
        <f t="shared" si="96"/>
        <v>-14.43375</v>
      </c>
      <c r="Q85" s="6">
        <f t="shared" si="97"/>
        <v>-14.43375</v>
      </c>
      <c r="R85" s="96">
        <f t="shared" si="98"/>
        <v>-14.43375</v>
      </c>
    </row>
    <row r="86" spans="1:18" ht="14.1" customHeight="1">
      <c r="A86" s="560"/>
      <c r="B86" s="85">
        <v>57.734999999999999</v>
      </c>
      <c r="C86" s="35">
        <v>0.25</v>
      </c>
      <c r="D86" s="36">
        <v>1</v>
      </c>
      <c r="E86" s="6">
        <f t="shared" si="99"/>
        <v>14.43375</v>
      </c>
      <c r="F86" s="96">
        <f t="shared" si="100"/>
        <v>14.43375</v>
      </c>
      <c r="G86" s="338"/>
      <c r="H86" s="8"/>
      <c r="I86" s="92"/>
      <c r="J86" s="337"/>
      <c r="K86" s="8"/>
      <c r="L86" s="14"/>
      <c r="M86" s="424">
        <f t="shared" si="93"/>
        <v>-14.43375</v>
      </c>
      <c r="N86" s="6">
        <f t="shared" si="94"/>
        <v>-14.43375</v>
      </c>
      <c r="O86" s="143">
        <f t="shared" si="95"/>
        <v>-14.43375</v>
      </c>
      <c r="P86" s="85">
        <f t="shared" si="96"/>
        <v>-14.43375</v>
      </c>
      <c r="Q86" s="6">
        <f t="shared" si="97"/>
        <v>-14.43375</v>
      </c>
      <c r="R86" s="96">
        <f t="shared" si="98"/>
        <v>-14.43375</v>
      </c>
    </row>
    <row r="87" spans="1:18" ht="14.1" customHeight="1">
      <c r="A87" s="560"/>
      <c r="B87" s="85">
        <v>57.734999999999999</v>
      </c>
      <c r="C87" s="35">
        <v>0.25</v>
      </c>
      <c r="D87" s="36">
        <v>1</v>
      </c>
      <c r="E87" s="6">
        <f t="shared" si="99"/>
        <v>14.43375</v>
      </c>
      <c r="F87" s="96">
        <f t="shared" si="100"/>
        <v>14.43375</v>
      </c>
      <c r="G87" s="338"/>
      <c r="H87" s="8"/>
      <c r="I87" s="92"/>
      <c r="J87" s="337"/>
      <c r="K87" s="8"/>
      <c r="L87" s="14"/>
      <c r="M87" s="424">
        <f t="shared" si="93"/>
        <v>-14.43375</v>
      </c>
      <c r="N87" s="6">
        <f t="shared" si="94"/>
        <v>-14.43375</v>
      </c>
      <c r="O87" s="143">
        <f t="shared" si="95"/>
        <v>-14.43375</v>
      </c>
      <c r="P87" s="85">
        <f t="shared" si="96"/>
        <v>-14.43375</v>
      </c>
      <c r="Q87" s="6">
        <f t="shared" si="97"/>
        <v>-14.43375</v>
      </c>
      <c r="R87" s="96">
        <f t="shared" si="98"/>
        <v>-14.43375</v>
      </c>
    </row>
    <row r="88" spans="1:18" ht="14.1" customHeight="1">
      <c r="A88" s="560"/>
      <c r="B88" s="85">
        <v>57.734999999999999</v>
      </c>
      <c r="C88" s="35">
        <v>0.25</v>
      </c>
      <c r="D88" s="36">
        <v>1</v>
      </c>
      <c r="E88" s="6">
        <f t="shared" si="99"/>
        <v>14.43375</v>
      </c>
      <c r="F88" s="96">
        <f t="shared" si="100"/>
        <v>14.43375</v>
      </c>
      <c r="G88" s="338"/>
      <c r="H88" s="8"/>
      <c r="I88" s="92"/>
      <c r="J88" s="337"/>
      <c r="K88" s="8"/>
      <c r="L88" s="14"/>
      <c r="M88" s="424">
        <f t="shared" si="93"/>
        <v>-14.43375</v>
      </c>
      <c r="N88" s="6">
        <f t="shared" si="94"/>
        <v>-14.43375</v>
      </c>
      <c r="O88" s="143">
        <f t="shared" si="95"/>
        <v>-14.43375</v>
      </c>
      <c r="P88" s="85">
        <f t="shared" si="96"/>
        <v>-14.43375</v>
      </c>
      <c r="Q88" s="6">
        <f t="shared" si="97"/>
        <v>-14.43375</v>
      </c>
      <c r="R88" s="96">
        <f t="shared" si="98"/>
        <v>-14.43375</v>
      </c>
    </row>
    <row r="89" spans="1:18" ht="14.1" customHeight="1">
      <c r="A89" s="560"/>
      <c r="B89" s="85">
        <v>57.734999999999999</v>
      </c>
      <c r="C89" s="35">
        <v>0.25</v>
      </c>
      <c r="D89" s="36">
        <v>1</v>
      </c>
      <c r="E89" s="6">
        <f t="shared" si="99"/>
        <v>14.43375</v>
      </c>
      <c r="F89" s="96">
        <f t="shared" si="100"/>
        <v>14.43375</v>
      </c>
      <c r="G89" s="338"/>
      <c r="H89" s="8"/>
      <c r="I89" s="92"/>
      <c r="J89" s="337"/>
      <c r="K89" s="8"/>
      <c r="L89" s="14"/>
      <c r="M89" s="424">
        <f t="shared" si="93"/>
        <v>-14.43375</v>
      </c>
      <c r="N89" s="6">
        <f t="shared" si="94"/>
        <v>-14.43375</v>
      </c>
      <c r="O89" s="143">
        <f t="shared" si="95"/>
        <v>-14.43375</v>
      </c>
      <c r="P89" s="85">
        <f t="shared" si="96"/>
        <v>-14.43375</v>
      </c>
      <c r="Q89" s="6">
        <f t="shared" si="97"/>
        <v>-14.43375</v>
      </c>
      <c r="R89" s="96">
        <f t="shared" si="98"/>
        <v>-14.43375</v>
      </c>
    </row>
    <row r="90" spans="1:18" ht="14.1" customHeight="1">
      <c r="A90" s="560"/>
      <c r="B90" s="85">
        <v>57.734999999999999</v>
      </c>
      <c r="C90" s="35">
        <v>0.25</v>
      </c>
      <c r="D90" s="36">
        <v>1</v>
      </c>
      <c r="E90" s="6">
        <f t="shared" si="99"/>
        <v>14.43375</v>
      </c>
      <c r="F90" s="96">
        <f t="shared" si="100"/>
        <v>14.43375</v>
      </c>
      <c r="G90" s="338"/>
      <c r="H90" s="8"/>
      <c r="I90" s="92"/>
      <c r="J90" s="337"/>
      <c r="K90" s="8"/>
      <c r="L90" s="14"/>
      <c r="M90" s="424">
        <f t="shared" si="93"/>
        <v>-14.43375</v>
      </c>
      <c r="N90" s="6">
        <f t="shared" si="94"/>
        <v>-14.43375</v>
      </c>
      <c r="O90" s="143">
        <f t="shared" si="95"/>
        <v>-14.43375</v>
      </c>
      <c r="P90" s="85">
        <f t="shared" si="96"/>
        <v>-14.43375</v>
      </c>
      <c r="Q90" s="6">
        <f t="shared" si="97"/>
        <v>-14.43375</v>
      </c>
      <c r="R90" s="96">
        <f t="shared" si="98"/>
        <v>-14.43375</v>
      </c>
    </row>
    <row r="91" spans="1:18" ht="14.1" customHeight="1">
      <c r="A91" s="560"/>
      <c r="B91" s="85">
        <v>57.734999999999999</v>
      </c>
      <c r="C91" s="35">
        <v>0.25</v>
      </c>
      <c r="D91" s="36">
        <v>1</v>
      </c>
      <c r="E91" s="6">
        <f t="shared" si="99"/>
        <v>14.43375</v>
      </c>
      <c r="F91" s="96">
        <f t="shared" si="100"/>
        <v>14.43375</v>
      </c>
      <c r="G91" s="338"/>
      <c r="H91" s="8"/>
      <c r="I91" s="92"/>
      <c r="J91" s="337"/>
      <c r="K91" s="8"/>
      <c r="L91" s="14"/>
      <c r="M91" s="424">
        <f t="shared" si="93"/>
        <v>-14.43375</v>
      </c>
      <c r="N91" s="6">
        <f t="shared" si="94"/>
        <v>-14.43375</v>
      </c>
      <c r="O91" s="143">
        <f t="shared" si="95"/>
        <v>-14.43375</v>
      </c>
      <c r="P91" s="85">
        <f t="shared" si="96"/>
        <v>-14.43375</v>
      </c>
      <c r="Q91" s="6">
        <f t="shared" si="97"/>
        <v>-14.43375</v>
      </c>
      <c r="R91" s="96">
        <f t="shared" si="98"/>
        <v>-14.43375</v>
      </c>
    </row>
    <row r="92" spans="1:18" ht="14.1" customHeight="1">
      <c r="A92" s="560"/>
      <c r="B92" s="85">
        <v>57.734999999999999</v>
      </c>
      <c r="C92" s="35">
        <v>0.25</v>
      </c>
      <c r="D92" s="36">
        <v>1</v>
      </c>
      <c r="E92" s="6">
        <f t="shared" si="99"/>
        <v>14.43375</v>
      </c>
      <c r="F92" s="96">
        <f t="shared" si="100"/>
        <v>14.43375</v>
      </c>
      <c r="G92" s="338"/>
      <c r="H92" s="8"/>
      <c r="I92" s="92"/>
      <c r="J92" s="337"/>
      <c r="K92" s="8"/>
      <c r="L92" s="14"/>
      <c r="M92" s="424">
        <f t="shared" si="93"/>
        <v>-14.43375</v>
      </c>
      <c r="N92" s="6">
        <f t="shared" si="94"/>
        <v>-14.43375</v>
      </c>
      <c r="O92" s="143">
        <f t="shared" si="95"/>
        <v>-14.43375</v>
      </c>
      <c r="P92" s="85">
        <f t="shared" si="96"/>
        <v>-14.43375</v>
      </c>
      <c r="Q92" s="6">
        <f t="shared" si="97"/>
        <v>-14.43375</v>
      </c>
      <c r="R92" s="96">
        <f t="shared" si="98"/>
        <v>-14.43375</v>
      </c>
    </row>
    <row r="93" spans="1:18" ht="14.1" customHeight="1" thickBot="1">
      <c r="A93" s="561"/>
      <c r="B93" s="86">
        <v>57.734999999999999</v>
      </c>
      <c r="C93" s="38">
        <v>0.25</v>
      </c>
      <c r="D93" s="87">
        <v>1</v>
      </c>
      <c r="E93" s="17">
        <f t="shared" si="99"/>
        <v>14.43375</v>
      </c>
      <c r="F93" s="97">
        <f t="shared" si="100"/>
        <v>14.43375</v>
      </c>
      <c r="G93" s="340"/>
      <c r="H93" s="18"/>
      <c r="I93" s="93"/>
      <c r="J93" s="339"/>
      <c r="K93" s="18"/>
      <c r="L93" s="19"/>
      <c r="M93" s="429">
        <f t="shared" si="93"/>
        <v>-14.43375</v>
      </c>
      <c r="N93" s="17">
        <f t="shared" si="94"/>
        <v>-14.43375</v>
      </c>
      <c r="O93" s="144">
        <f t="shared" si="95"/>
        <v>-14.43375</v>
      </c>
      <c r="P93" s="86">
        <f t="shared" si="96"/>
        <v>-14.43375</v>
      </c>
      <c r="Q93" s="17">
        <f t="shared" si="97"/>
        <v>-14.43375</v>
      </c>
      <c r="R93" s="97">
        <f t="shared" si="98"/>
        <v>-14.43375</v>
      </c>
    </row>
    <row r="94" spans="1:18" ht="14.1" customHeight="1">
      <c r="B94" s="28" t="s">
        <v>14</v>
      </c>
      <c r="C94" s="29" t="s">
        <v>143</v>
      </c>
      <c r="D94" s="30" t="s">
        <v>0</v>
      </c>
      <c r="E94" s="31" t="s">
        <v>147</v>
      </c>
      <c r="F94" s="94" t="s">
        <v>148</v>
      </c>
      <c r="G94" s="423" t="s">
        <v>150</v>
      </c>
      <c r="H94" s="23" t="s">
        <v>151</v>
      </c>
      <c r="I94" s="187" t="s">
        <v>152</v>
      </c>
      <c r="J94" s="22" t="s">
        <v>150</v>
      </c>
      <c r="K94" s="23" t="s">
        <v>151</v>
      </c>
      <c r="L94" s="24" t="s">
        <v>152</v>
      </c>
      <c r="M94" s="425" t="s">
        <v>153</v>
      </c>
      <c r="N94" s="100" t="s">
        <v>151</v>
      </c>
      <c r="O94" s="442" t="s">
        <v>152</v>
      </c>
      <c r="P94" s="99" t="s">
        <v>153</v>
      </c>
      <c r="Q94" s="100" t="s">
        <v>151</v>
      </c>
      <c r="R94" s="101" t="s">
        <v>152</v>
      </c>
    </row>
    <row r="95" spans="1:18" ht="14.1" customHeight="1">
      <c r="B95" s="25">
        <f t="shared" ref="B95:F95" si="101">AVERAGE(B97:B106)</f>
        <v>57.734999999999999</v>
      </c>
      <c r="C95" s="26">
        <f t="shared" si="101"/>
        <v>9.9999999999999992E-2</v>
      </c>
      <c r="D95" s="26">
        <f t="shared" si="101"/>
        <v>1</v>
      </c>
      <c r="E95" s="26">
        <f t="shared" si="101"/>
        <v>5.7734999999999994</v>
      </c>
      <c r="F95" s="27">
        <f t="shared" si="101"/>
        <v>5.7734999999999994</v>
      </c>
      <c r="G95" s="195" t="e">
        <f t="shared" ref="G95:N95" si="102">AVERAGE(G97:G106)</f>
        <v>#DIV/0!</v>
      </c>
      <c r="H95" s="26" t="e">
        <f t="shared" si="102"/>
        <v>#DIV/0!</v>
      </c>
      <c r="I95" s="32" t="e">
        <f t="shared" si="102"/>
        <v>#DIV/0!</v>
      </c>
      <c r="J95" s="25" t="e">
        <f t="shared" si="102"/>
        <v>#DIV/0!</v>
      </c>
      <c r="K95" s="26" t="e">
        <f t="shared" si="102"/>
        <v>#DIV/0!</v>
      </c>
      <c r="L95" s="27" t="e">
        <f t="shared" si="102"/>
        <v>#DIV/0!</v>
      </c>
      <c r="M95" s="426">
        <f t="shared" si="102"/>
        <v>-5.7734999999999994</v>
      </c>
      <c r="N95" s="146">
        <f t="shared" si="102"/>
        <v>-5.7734999999999994</v>
      </c>
      <c r="O95" s="443">
        <f>AVERAGE(O97:O106)</f>
        <v>-5.7734999999999994</v>
      </c>
      <c r="P95" s="145">
        <f t="shared" ref="P95" si="103">AVERAGE(P97:P106)</f>
        <v>-5.7734999999999994</v>
      </c>
      <c r="Q95" s="146">
        <f>AVERAGE(Q97:Q106)</f>
        <v>-5.7734999999999994</v>
      </c>
      <c r="R95" s="147">
        <f t="shared" ref="R95" si="104">AVERAGE(R97:R106)</f>
        <v>-5.7734999999999994</v>
      </c>
    </row>
    <row r="96" spans="1:18" s="135" customFormat="1" ht="14.1" customHeight="1" thickBot="1">
      <c r="B96" s="136">
        <f>STDEV(B97:B106)/B95*100</f>
        <v>0</v>
      </c>
      <c r="C96" s="137">
        <f>STDEV(C97:C106)/C95*100</f>
        <v>1.4628472785736256E-14</v>
      </c>
      <c r="D96" s="137">
        <f>STDEV(D97:D106)/D95*100</f>
        <v>0</v>
      </c>
      <c r="E96" s="137">
        <f>STDEV(E97:E106)/F95*100</f>
        <v>1.6215852745944753E-14</v>
      </c>
      <c r="F96" s="148">
        <f>STDEV(F97:F106)/F95*100</f>
        <v>1.6215852745944753E-14</v>
      </c>
      <c r="G96" s="445" t="e">
        <f>STDEV(G97:G106)/F95*100</f>
        <v>#DIV/0!</v>
      </c>
      <c r="H96" s="141" t="e">
        <f>STDEV(H97:H106)/F95*100</f>
        <v>#DIV/0!</v>
      </c>
      <c r="I96" s="188" t="e">
        <f>STDEV(I97:I106)/F95*100</f>
        <v>#DIV/0!</v>
      </c>
      <c r="J96" s="448" t="e">
        <f>STDEV(J97:J106)/F95*100</f>
        <v>#DIV/0!</v>
      </c>
      <c r="K96" s="141" t="e">
        <f>STDEV(K97:K106)/F95*100</f>
        <v>#DIV/0!</v>
      </c>
      <c r="L96" s="142" t="e">
        <f>STDEV(L97:L106)/F95*100</f>
        <v>#DIV/0!</v>
      </c>
      <c r="M96" s="427">
        <f>100*STDEV(M97:M106)/$F$95</f>
        <v>1.6215852745944756E-14</v>
      </c>
      <c r="N96" s="193">
        <f t="shared" ref="N96:O96" si="105">100*STDEV(N97:N106)/$F$95</f>
        <v>1.6215852745944756E-14</v>
      </c>
      <c r="O96" s="444">
        <f t="shared" si="105"/>
        <v>1.6215852745944756E-14</v>
      </c>
      <c r="P96" s="192">
        <f>100*STDEV(P97:P106)/$F$95</f>
        <v>1.6215852745944756E-14</v>
      </c>
      <c r="Q96" s="193">
        <f t="shared" ref="Q96:R96" si="106">100*STDEV(Q97:Q106)/$F$95</f>
        <v>1.6215852745944756E-14</v>
      </c>
      <c r="R96" s="194">
        <f t="shared" si="106"/>
        <v>1.6215852745944756E-14</v>
      </c>
    </row>
    <row r="97" spans="1:18" ht="14.1" customHeight="1">
      <c r="A97" s="559" t="s">
        <v>38</v>
      </c>
      <c r="B97" s="9">
        <v>57.734999999999999</v>
      </c>
      <c r="C97" s="34">
        <v>0.1</v>
      </c>
      <c r="D97" s="10">
        <v>1</v>
      </c>
      <c r="E97" s="3">
        <f>B97*C97*D97</f>
        <v>5.7735000000000003</v>
      </c>
      <c r="F97" s="95">
        <f>B97*C97</f>
        <v>5.7735000000000003</v>
      </c>
      <c r="G97" s="447"/>
      <c r="H97" s="12"/>
      <c r="I97" s="91"/>
      <c r="J97" s="449"/>
      <c r="K97" s="12"/>
      <c r="L97" s="13"/>
      <c r="M97" s="424">
        <f t="shared" ref="M97:M106" si="107">(G97-E97)</f>
        <v>-5.7735000000000003</v>
      </c>
      <c r="N97" s="6">
        <f t="shared" ref="N97:N106" si="108">(H97-E97)</f>
        <v>-5.7735000000000003</v>
      </c>
      <c r="O97" s="143">
        <f t="shared" ref="O97:O106" si="109">(I97-E97)</f>
        <v>-5.7735000000000003</v>
      </c>
      <c r="P97" s="85">
        <f t="shared" ref="P97:P106" si="110">(J97-E97)</f>
        <v>-5.7735000000000003</v>
      </c>
      <c r="Q97" s="6">
        <f t="shared" ref="Q97:Q106" si="111">(K97-E97)</f>
        <v>-5.7735000000000003</v>
      </c>
      <c r="R97" s="96">
        <f t="shared" ref="R97:R106" si="112">(L97-E97)</f>
        <v>-5.7735000000000003</v>
      </c>
    </row>
    <row r="98" spans="1:18" ht="14.1" customHeight="1">
      <c r="A98" s="560"/>
      <c r="B98" s="85">
        <v>57.734999999999999</v>
      </c>
      <c r="C98" s="7">
        <v>0.1</v>
      </c>
      <c r="D98" s="36">
        <v>1</v>
      </c>
      <c r="E98" s="6">
        <f t="shared" ref="E98:E106" si="113">B98*C98*D98</f>
        <v>5.7735000000000003</v>
      </c>
      <c r="F98" s="96">
        <f t="shared" ref="F98:F106" si="114">B98*C98</f>
        <v>5.7735000000000003</v>
      </c>
      <c r="G98" s="338"/>
      <c r="H98" s="8"/>
      <c r="I98" s="92"/>
      <c r="J98" s="337"/>
      <c r="K98" s="8"/>
      <c r="L98" s="14"/>
      <c r="M98" s="424">
        <f t="shared" si="107"/>
        <v>-5.7735000000000003</v>
      </c>
      <c r="N98" s="6">
        <f t="shared" si="108"/>
        <v>-5.7735000000000003</v>
      </c>
      <c r="O98" s="143">
        <f t="shared" si="109"/>
        <v>-5.7735000000000003</v>
      </c>
      <c r="P98" s="85">
        <f t="shared" si="110"/>
        <v>-5.7735000000000003</v>
      </c>
      <c r="Q98" s="6">
        <f t="shared" si="111"/>
        <v>-5.7735000000000003</v>
      </c>
      <c r="R98" s="96">
        <f t="shared" si="112"/>
        <v>-5.7735000000000003</v>
      </c>
    </row>
    <row r="99" spans="1:18" ht="14.1" customHeight="1">
      <c r="A99" s="560"/>
      <c r="B99" s="85">
        <v>57.734999999999999</v>
      </c>
      <c r="C99" s="7">
        <v>0.1</v>
      </c>
      <c r="D99" s="36">
        <v>1</v>
      </c>
      <c r="E99" s="6">
        <f t="shared" si="113"/>
        <v>5.7735000000000003</v>
      </c>
      <c r="F99" s="96">
        <f t="shared" si="114"/>
        <v>5.7735000000000003</v>
      </c>
      <c r="G99" s="338"/>
      <c r="H99" s="8"/>
      <c r="I99" s="92"/>
      <c r="J99" s="337"/>
      <c r="K99" s="8"/>
      <c r="L99" s="14"/>
      <c r="M99" s="424">
        <f t="shared" si="107"/>
        <v>-5.7735000000000003</v>
      </c>
      <c r="N99" s="6">
        <f t="shared" si="108"/>
        <v>-5.7735000000000003</v>
      </c>
      <c r="O99" s="143">
        <f t="shared" si="109"/>
        <v>-5.7735000000000003</v>
      </c>
      <c r="P99" s="85">
        <f t="shared" si="110"/>
        <v>-5.7735000000000003</v>
      </c>
      <c r="Q99" s="6">
        <f t="shared" si="111"/>
        <v>-5.7735000000000003</v>
      </c>
      <c r="R99" s="96">
        <f t="shared" si="112"/>
        <v>-5.7735000000000003</v>
      </c>
    </row>
    <row r="100" spans="1:18" ht="14.1" customHeight="1">
      <c r="A100" s="560"/>
      <c r="B100" s="85">
        <v>57.734999999999999</v>
      </c>
      <c r="C100" s="7">
        <v>0.1</v>
      </c>
      <c r="D100" s="36">
        <v>1</v>
      </c>
      <c r="E100" s="6">
        <f t="shared" si="113"/>
        <v>5.7735000000000003</v>
      </c>
      <c r="F100" s="96">
        <f t="shared" si="114"/>
        <v>5.7735000000000003</v>
      </c>
      <c r="G100" s="338"/>
      <c r="H100" s="8"/>
      <c r="I100" s="92"/>
      <c r="J100" s="337"/>
      <c r="K100" s="8"/>
      <c r="L100" s="14"/>
      <c r="M100" s="424">
        <f t="shared" si="107"/>
        <v>-5.7735000000000003</v>
      </c>
      <c r="N100" s="6">
        <f t="shared" si="108"/>
        <v>-5.7735000000000003</v>
      </c>
      <c r="O100" s="143">
        <f t="shared" si="109"/>
        <v>-5.7735000000000003</v>
      </c>
      <c r="P100" s="85">
        <f t="shared" si="110"/>
        <v>-5.7735000000000003</v>
      </c>
      <c r="Q100" s="6">
        <f t="shared" si="111"/>
        <v>-5.7735000000000003</v>
      </c>
      <c r="R100" s="96">
        <f t="shared" si="112"/>
        <v>-5.7735000000000003</v>
      </c>
    </row>
    <row r="101" spans="1:18" ht="14.1" customHeight="1">
      <c r="A101" s="560"/>
      <c r="B101" s="85">
        <v>57.734999999999999</v>
      </c>
      <c r="C101" s="7">
        <v>0.1</v>
      </c>
      <c r="D101" s="36">
        <v>1</v>
      </c>
      <c r="E101" s="6">
        <f t="shared" si="113"/>
        <v>5.7735000000000003</v>
      </c>
      <c r="F101" s="96">
        <f t="shared" si="114"/>
        <v>5.7735000000000003</v>
      </c>
      <c r="G101" s="338"/>
      <c r="H101" s="8"/>
      <c r="I101" s="92"/>
      <c r="J101" s="337"/>
      <c r="K101" s="8"/>
      <c r="L101" s="14"/>
      <c r="M101" s="424">
        <f t="shared" si="107"/>
        <v>-5.7735000000000003</v>
      </c>
      <c r="N101" s="6">
        <f t="shared" si="108"/>
        <v>-5.7735000000000003</v>
      </c>
      <c r="O101" s="143">
        <f t="shared" si="109"/>
        <v>-5.7735000000000003</v>
      </c>
      <c r="P101" s="85">
        <f t="shared" si="110"/>
        <v>-5.7735000000000003</v>
      </c>
      <c r="Q101" s="6">
        <f t="shared" si="111"/>
        <v>-5.7735000000000003</v>
      </c>
      <c r="R101" s="96">
        <f t="shared" si="112"/>
        <v>-5.7735000000000003</v>
      </c>
    </row>
    <row r="102" spans="1:18" ht="14.1" customHeight="1">
      <c r="A102" s="560"/>
      <c r="B102" s="85">
        <v>57.734999999999999</v>
      </c>
      <c r="C102" s="7">
        <v>0.1</v>
      </c>
      <c r="D102" s="36">
        <v>1</v>
      </c>
      <c r="E102" s="6">
        <f t="shared" si="113"/>
        <v>5.7735000000000003</v>
      </c>
      <c r="F102" s="96">
        <f t="shared" si="114"/>
        <v>5.7735000000000003</v>
      </c>
      <c r="G102" s="338"/>
      <c r="H102" s="8"/>
      <c r="I102" s="92"/>
      <c r="J102" s="337"/>
      <c r="K102" s="8"/>
      <c r="L102" s="14"/>
      <c r="M102" s="424">
        <f t="shared" si="107"/>
        <v>-5.7735000000000003</v>
      </c>
      <c r="N102" s="6">
        <f t="shared" si="108"/>
        <v>-5.7735000000000003</v>
      </c>
      <c r="O102" s="143">
        <f t="shared" si="109"/>
        <v>-5.7735000000000003</v>
      </c>
      <c r="P102" s="85">
        <f t="shared" si="110"/>
        <v>-5.7735000000000003</v>
      </c>
      <c r="Q102" s="6">
        <f t="shared" si="111"/>
        <v>-5.7735000000000003</v>
      </c>
      <c r="R102" s="96">
        <f t="shared" si="112"/>
        <v>-5.7735000000000003</v>
      </c>
    </row>
    <row r="103" spans="1:18" ht="14.1" customHeight="1">
      <c r="A103" s="560"/>
      <c r="B103" s="85">
        <v>57.734999999999999</v>
      </c>
      <c r="C103" s="7">
        <v>0.1</v>
      </c>
      <c r="D103" s="36">
        <v>1</v>
      </c>
      <c r="E103" s="6">
        <f t="shared" si="113"/>
        <v>5.7735000000000003</v>
      </c>
      <c r="F103" s="96">
        <f t="shared" si="114"/>
        <v>5.7735000000000003</v>
      </c>
      <c r="G103" s="338"/>
      <c r="H103" s="8"/>
      <c r="I103" s="92"/>
      <c r="J103" s="337"/>
      <c r="K103" s="8"/>
      <c r="L103" s="14"/>
      <c r="M103" s="424">
        <f t="shared" si="107"/>
        <v>-5.7735000000000003</v>
      </c>
      <c r="N103" s="6">
        <f t="shared" si="108"/>
        <v>-5.7735000000000003</v>
      </c>
      <c r="O103" s="143">
        <f t="shared" si="109"/>
        <v>-5.7735000000000003</v>
      </c>
      <c r="P103" s="85">
        <f t="shared" si="110"/>
        <v>-5.7735000000000003</v>
      </c>
      <c r="Q103" s="6">
        <f t="shared" si="111"/>
        <v>-5.7735000000000003</v>
      </c>
      <c r="R103" s="96">
        <f t="shared" si="112"/>
        <v>-5.7735000000000003</v>
      </c>
    </row>
    <row r="104" spans="1:18" ht="14.1" customHeight="1">
      <c r="A104" s="560"/>
      <c r="B104" s="85">
        <v>57.734999999999999</v>
      </c>
      <c r="C104" s="7">
        <v>0.1</v>
      </c>
      <c r="D104" s="36">
        <v>1</v>
      </c>
      <c r="E104" s="6">
        <f t="shared" si="113"/>
        <v>5.7735000000000003</v>
      </c>
      <c r="F104" s="96">
        <f t="shared" si="114"/>
        <v>5.7735000000000003</v>
      </c>
      <c r="G104" s="338"/>
      <c r="H104" s="8"/>
      <c r="I104" s="92"/>
      <c r="J104" s="337"/>
      <c r="K104" s="8"/>
      <c r="L104" s="14"/>
      <c r="M104" s="424">
        <f t="shared" si="107"/>
        <v>-5.7735000000000003</v>
      </c>
      <c r="N104" s="6">
        <f t="shared" si="108"/>
        <v>-5.7735000000000003</v>
      </c>
      <c r="O104" s="143">
        <f t="shared" si="109"/>
        <v>-5.7735000000000003</v>
      </c>
      <c r="P104" s="85">
        <f t="shared" si="110"/>
        <v>-5.7735000000000003</v>
      </c>
      <c r="Q104" s="6">
        <f t="shared" si="111"/>
        <v>-5.7735000000000003</v>
      </c>
      <c r="R104" s="96">
        <f t="shared" si="112"/>
        <v>-5.7735000000000003</v>
      </c>
    </row>
    <row r="105" spans="1:18" ht="14.1" customHeight="1">
      <c r="A105" s="560"/>
      <c r="B105" s="85">
        <v>57.734999999999999</v>
      </c>
      <c r="C105" s="7">
        <v>0.1</v>
      </c>
      <c r="D105" s="36">
        <v>1</v>
      </c>
      <c r="E105" s="6">
        <f t="shared" si="113"/>
        <v>5.7735000000000003</v>
      </c>
      <c r="F105" s="96">
        <f t="shared" si="114"/>
        <v>5.7735000000000003</v>
      </c>
      <c r="G105" s="338"/>
      <c r="H105" s="8"/>
      <c r="I105" s="92"/>
      <c r="J105" s="337"/>
      <c r="K105" s="8"/>
      <c r="L105" s="14"/>
      <c r="M105" s="424">
        <f t="shared" si="107"/>
        <v>-5.7735000000000003</v>
      </c>
      <c r="N105" s="6">
        <f t="shared" si="108"/>
        <v>-5.7735000000000003</v>
      </c>
      <c r="O105" s="143">
        <f t="shared" si="109"/>
        <v>-5.7735000000000003</v>
      </c>
      <c r="P105" s="85">
        <f t="shared" si="110"/>
        <v>-5.7735000000000003</v>
      </c>
      <c r="Q105" s="6">
        <f t="shared" si="111"/>
        <v>-5.7735000000000003</v>
      </c>
      <c r="R105" s="96">
        <f t="shared" si="112"/>
        <v>-5.7735000000000003</v>
      </c>
    </row>
    <row r="106" spans="1:18" ht="14.1" customHeight="1" thickBot="1">
      <c r="A106" s="561"/>
      <c r="B106" s="86">
        <v>57.734999999999999</v>
      </c>
      <c r="C106" s="21">
        <v>0.1</v>
      </c>
      <c r="D106" s="87">
        <v>1</v>
      </c>
      <c r="E106" s="17">
        <f t="shared" si="113"/>
        <v>5.7735000000000003</v>
      </c>
      <c r="F106" s="97">
        <f t="shared" si="114"/>
        <v>5.7735000000000003</v>
      </c>
      <c r="G106" s="340"/>
      <c r="H106" s="18"/>
      <c r="I106" s="93"/>
      <c r="J106" s="339"/>
      <c r="K106" s="18"/>
      <c r="L106" s="19"/>
      <c r="M106" s="429">
        <f t="shared" si="107"/>
        <v>-5.7735000000000003</v>
      </c>
      <c r="N106" s="17">
        <f t="shared" si="108"/>
        <v>-5.7735000000000003</v>
      </c>
      <c r="O106" s="144">
        <f t="shared" si="109"/>
        <v>-5.7735000000000003</v>
      </c>
      <c r="P106" s="86">
        <f t="shared" si="110"/>
        <v>-5.7735000000000003</v>
      </c>
      <c r="Q106" s="17">
        <f t="shared" si="111"/>
        <v>-5.7735000000000003</v>
      </c>
      <c r="R106" s="97">
        <f t="shared" si="112"/>
        <v>-5.7735000000000003</v>
      </c>
    </row>
    <row r="107" spans="1:18" ht="14.1" customHeight="1">
      <c r="B107" s="28" t="s">
        <v>14</v>
      </c>
      <c r="C107" s="29" t="s">
        <v>143</v>
      </c>
      <c r="D107" s="30" t="s">
        <v>0</v>
      </c>
      <c r="E107" s="31" t="s">
        <v>147</v>
      </c>
      <c r="F107" s="94" t="s">
        <v>148</v>
      </c>
      <c r="G107" s="423" t="s">
        <v>150</v>
      </c>
      <c r="H107" s="23" t="s">
        <v>151</v>
      </c>
      <c r="I107" s="187" t="s">
        <v>152</v>
      </c>
      <c r="J107" s="22" t="s">
        <v>150</v>
      </c>
      <c r="K107" s="23" t="s">
        <v>151</v>
      </c>
      <c r="L107" s="24" t="s">
        <v>152</v>
      </c>
      <c r="M107" s="425" t="s">
        <v>153</v>
      </c>
      <c r="N107" s="100" t="s">
        <v>151</v>
      </c>
      <c r="O107" s="442" t="s">
        <v>152</v>
      </c>
      <c r="P107" s="99" t="s">
        <v>153</v>
      </c>
      <c r="Q107" s="100" t="s">
        <v>151</v>
      </c>
      <c r="R107" s="101" t="s">
        <v>152</v>
      </c>
    </row>
    <row r="108" spans="1:18" ht="14.1" customHeight="1">
      <c r="B108" s="25">
        <f t="shared" ref="B108:F108" si="115">AVERAGE(B110:B119)</f>
        <v>72.168800000000019</v>
      </c>
      <c r="C108" s="26">
        <f t="shared" si="115"/>
        <v>4.9999999999999996E-2</v>
      </c>
      <c r="D108" s="26">
        <f t="shared" si="115"/>
        <v>1</v>
      </c>
      <c r="E108" s="26">
        <f t="shared" si="115"/>
        <v>3.6084400000000008</v>
      </c>
      <c r="F108" s="27">
        <f t="shared" si="115"/>
        <v>3.6084400000000008</v>
      </c>
      <c r="G108" s="195" t="e">
        <f t="shared" ref="G108:N108" si="116">AVERAGE(G110:G119)</f>
        <v>#DIV/0!</v>
      </c>
      <c r="H108" s="26" t="e">
        <f t="shared" si="116"/>
        <v>#DIV/0!</v>
      </c>
      <c r="I108" s="32" t="e">
        <f t="shared" si="116"/>
        <v>#DIV/0!</v>
      </c>
      <c r="J108" s="25" t="e">
        <f t="shared" si="116"/>
        <v>#DIV/0!</v>
      </c>
      <c r="K108" s="26" t="e">
        <f t="shared" si="116"/>
        <v>#DIV/0!</v>
      </c>
      <c r="L108" s="27" t="e">
        <f t="shared" si="116"/>
        <v>#DIV/0!</v>
      </c>
      <c r="M108" s="426">
        <f t="shared" si="116"/>
        <v>-3.6084400000000008</v>
      </c>
      <c r="N108" s="146">
        <f t="shared" si="116"/>
        <v>-3.6084400000000008</v>
      </c>
      <c r="O108" s="443">
        <f>AVERAGE(O110:O119)</f>
        <v>-3.6084400000000008</v>
      </c>
      <c r="P108" s="145">
        <f t="shared" ref="P108" si="117">AVERAGE(P110:P119)</f>
        <v>-3.6084400000000008</v>
      </c>
      <c r="Q108" s="146">
        <f>AVERAGE(Q110:Q119)</f>
        <v>-3.6084400000000008</v>
      </c>
      <c r="R108" s="147">
        <f t="shared" ref="R108" si="118">AVERAGE(R110:R119)</f>
        <v>-3.6084400000000008</v>
      </c>
    </row>
    <row r="109" spans="1:18" s="135" customFormat="1" ht="14.1" customHeight="1" thickBot="1">
      <c r="B109" s="136">
        <f>STDEV(B110:B119)/B108*100</f>
        <v>2.0756277134431945E-14</v>
      </c>
      <c r="C109" s="137">
        <f>STDEV(C110:C119)/C108*100</f>
        <v>1.4628472785736256E-14</v>
      </c>
      <c r="D109" s="137">
        <f>STDEV(D110:D119)/D108*100</f>
        <v>0</v>
      </c>
      <c r="E109" s="137">
        <f>STDEV(E110:E119)/F108*100</f>
        <v>1.2972673209019967E-14</v>
      </c>
      <c r="F109" s="148">
        <f>STDEV(F110:F119)/F108*100</f>
        <v>1.2972673209019967E-14</v>
      </c>
      <c r="G109" s="445" t="e">
        <f>STDEV(G110:G119)/F108*100</f>
        <v>#DIV/0!</v>
      </c>
      <c r="H109" s="141" t="e">
        <f>STDEV(H110:H119)/F108*100</f>
        <v>#DIV/0!</v>
      </c>
      <c r="I109" s="188" t="e">
        <f>STDEV(I110:I119)/F108*100</f>
        <v>#DIV/0!</v>
      </c>
      <c r="J109" s="448" t="e">
        <f>STDEV(J110:J119)/F108*100</f>
        <v>#DIV/0!</v>
      </c>
      <c r="K109" s="141" t="e">
        <f>STDEV(K110:K119)/F108*100</f>
        <v>#DIV/0!</v>
      </c>
      <c r="L109" s="142" t="e">
        <f>STDEV(L110:L119)/F108*100</f>
        <v>#DIV/0!</v>
      </c>
      <c r="M109" s="427">
        <f>100*STDEV(M110:M119)/$F$108</f>
        <v>1.2972673209019965E-14</v>
      </c>
      <c r="N109" s="193">
        <f t="shared" ref="N109:O109" si="119">100*STDEV(N110:N119)/$F$108</f>
        <v>1.2972673209019965E-14</v>
      </c>
      <c r="O109" s="444">
        <f t="shared" si="119"/>
        <v>1.2972673209019965E-14</v>
      </c>
      <c r="P109" s="192">
        <f>100*STDEV(P110:P119)/$F$108</f>
        <v>1.2972673209019965E-14</v>
      </c>
      <c r="Q109" s="193">
        <f t="shared" ref="Q109:R109" si="120">100*STDEV(Q110:Q119)/$F$108</f>
        <v>1.2972673209019965E-14</v>
      </c>
      <c r="R109" s="194">
        <f t="shared" si="120"/>
        <v>1.2972673209019965E-14</v>
      </c>
    </row>
    <row r="110" spans="1:18" ht="14.1" customHeight="1">
      <c r="A110" s="559" t="s">
        <v>39</v>
      </c>
      <c r="B110" s="89">
        <v>72.168800000000005</v>
      </c>
      <c r="C110" s="88">
        <v>0.05</v>
      </c>
      <c r="D110" s="10">
        <v>1</v>
      </c>
      <c r="E110" s="3">
        <f>B110*C110*D110</f>
        <v>3.6084400000000003</v>
      </c>
      <c r="F110" s="95">
        <f>B110*C110</f>
        <v>3.6084400000000003</v>
      </c>
      <c r="G110" s="447"/>
      <c r="H110" s="12"/>
      <c r="I110" s="91"/>
      <c r="J110" s="449"/>
      <c r="K110" s="12"/>
      <c r="L110" s="13"/>
      <c r="M110" s="424">
        <f t="shared" ref="M110:M119" si="121">(G110-E110)</f>
        <v>-3.6084400000000003</v>
      </c>
      <c r="N110" s="6">
        <f t="shared" ref="N110:N119" si="122">(H110-E110)</f>
        <v>-3.6084400000000003</v>
      </c>
      <c r="O110" s="143">
        <f t="shared" ref="O110:O119" si="123">(I110-E110)</f>
        <v>-3.6084400000000003</v>
      </c>
      <c r="P110" s="85">
        <f t="shared" ref="P110:P119" si="124">(J110-E110)</f>
        <v>-3.6084400000000003</v>
      </c>
      <c r="Q110" s="6">
        <f t="shared" ref="Q110:Q119" si="125">(K110-E110)</f>
        <v>-3.6084400000000003</v>
      </c>
      <c r="R110" s="96">
        <f t="shared" ref="R110:R119" si="126">(L110-E110)</f>
        <v>-3.6084400000000003</v>
      </c>
    </row>
    <row r="111" spans="1:18" ht="14.1" customHeight="1">
      <c r="A111" s="560"/>
      <c r="B111" s="90">
        <v>72.168800000000005</v>
      </c>
      <c r="C111" s="35">
        <v>0.05</v>
      </c>
      <c r="D111" s="36">
        <v>1</v>
      </c>
      <c r="E111" s="6">
        <f t="shared" ref="E111:E119" si="127">B111*C111*D111</f>
        <v>3.6084400000000003</v>
      </c>
      <c r="F111" s="96">
        <f t="shared" ref="F111:F119" si="128">B111*C111</f>
        <v>3.6084400000000003</v>
      </c>
      <c r="G111" s="338"/>
      <c r="H111" s="8"/>
      <c r="I111" s="92"/>
      <c r="J111" s="337"/>
      <c r="K111" s="8"/>
      <c r="L111" s="14"/>
      <c r="M111" s="424">
        <f t="shared" si="121"/>
        <v>-3.6084400000000003</v>
      </c>
      <c r="N111" s="6">
        <f t="shared" si="122"/>
        <v>-3.6084400000000003</v>
      </c>
      <c r="O111" s="143">
        <f t="shared" si="123"/>
        <v>-3.6084400000000003</v>
      </c>
      <c r="P111" s="85">
        <f t="shared" si="124"/>
        <v>-3.6084400000000003</v>
      </c>
      <c r="Q111" s="6">
        <f t="shared" si="125"/>
        <v>-3.6084400000000003</v>
      </c>
      <c r="R111" s="96">
        <f t="shared" si="126"/>
        <v>-3.6084400000000003</v>
      </c>
    </row>
    <row r="112" spans="1:18" ht="14.1" customHeight="1">
      <c r="A112" s="560"/>
      <c r="B112" s="90">
        <v>72.168800000000005</v>
      </c>
      <c r="C112" s="35">
        <v>0.05</v>
      </c>
      <c r="D112" s="36">
        <v>1</v>
      </c>
      <c r="E112" s="6">
        <f t="shared" si="127"/>
        <v>3.6084400000000003</v>
      </c>
      <c r="F112" s="96">
        <f t="shared" si="128"/>
        <v>3.6084400000000003</v>
      </c>
      <c r="G112" s="338"/>
      <c r="H112" s="8"/>
      <c r="I112" s="92"/>
      <c r="J112" s="337"/>
      <c r="K112" s="8"/>
      <c r="L112" s="14"/>
      <c r="M112" s="424">
        <f t="shared" si="121"/>
        <v>-3.6084400000000003</v>
      </c>
      <c r="N112" s="6">
        <f t="shared" si="122"/>
        <v>-3.6084400000000003</v>
      </c>
      <c r="O112" s="143">
        <f t="shared" si="123"/>
        <v>-3.6084400000000003</v>
      </c>
      <c r="P112" s="85">
        <f t="shared" si="124"/>
        <v>-3.6084400000000003</v>
      </c>
      <c r="Q112" s="6">
        <f t="shared" si="125"/>
        <v>-3.6084400000000003</v>
      </c>
      <c r="R112" s="96">
        <f t="shared" si="126"/>
        <v>-3.6084400000000003</v>
      </c>
    </row>
    <row r="113" spans="1:18" ht="14.1" customHeight="1">
      <c r="A113" s="560"/>
      <c r="B113" s="90">
        <v>72.168800000000005</v>
      </c>
      <c r="C113" s="35">
        <v>0.05</v>
      </c>
      <c r="D113" s="36">
        <v>1</v>
      </c>
      <c r="E113" s="6">
        <f t="shared" si="127"/>
        <v>3.6084400000000003</v>
      </c>
      <c r="F113" s="96">
        <f t="shared" si="128"/>
        <v>3.6084400000000003</v>
      </c>
      <c r="G113" s="338"/>
      <c r="H113" s="8"/>
      <c r="I113" s="92"/>
      <c r="J113" s="337"/>
      <c r="K113" s="8"/>
      <c r="L113" s="14"/>
      <c r="M113" s="424">
        <f t="shared" si="121"/>
        <v>-3.6084400000000003</v>
      </c>
      <c r="N113" s="6">
        <f t="shared" si="122"/>
        <v>-3.6084400000000003</v>
      </c>
      <c r="O113" s="143">
        <f t="shared" si="123"/>
        <v>-3.6084400000000003</v>
      </c>
      <c r="P113" s="85">
        <f t="shared" si="124"/>
        <v>-3.6084400000000003</v>
      </c>
      <c r="Q113" s="6">
        <f t="shared" si="125"/>
        <v>-3.6084400000000003</v>
      </c>
      <c r="R113" s="96">
        <f t="shared" si="126"/>
        <v>-3.6084400000000003</v>
      </c>
    </row>
    <row r="114" spans="1:18" ht="14.1" customHeight="1">
      <c r="A114" s="560"/>
      <c r="B114" s="90">
        <v>72.168800000000005</v>
      </c>
      <c r="C114" s="35">
        <v>0.05</v>
      </c>
      <c r="D114" s="36">
        <v>1</v>
      </c>
      <c r="E114" s="6">
        <f t="shared" si="127"/>
        <v>3.6084400000000003</v>
      </c>
      <c r="F114" s="96">
        <f t="shared" si="128"/>
        <v>3.6084400000000003</v>
      </c>
      <c r="G114" s="338"/>
      <c r="H114" s="8"/>
      <c r="I114" s="92"/>
      <c r="J114" s="337"/>
      <c r="K114" s="8"/>
      <c r="L114" s="14"/>
      <c r="M114" s="424">
        <f t="shared" si="121"/>
        <v>-3.6084400000000003</v>
      </c>
      <c r="N114" s="6">
        <f t="shared" si="122"/>
        <v>-3.6084400000000003</v>
      </c>
      <c r="O114" s="143">
        <f t="shared" si="123"/>
        <v>-3.6084400000000003</v>
      </c>
      <c r="P114" s="85">
        <f t="shared" si="124"/>
        <v>-3.6084400000000003</v>
      </c>
      <c r="Q114" s="6">
        <f t="shared" si="125"/>
        <v>-3.6084400000000003</v>
      </c>
      <c r="R114" s="96">
        <f t="shared" si="126"/>
        <v>-3.6084400000000003</v>
      </c>
    </row>
    <row r="115" spans="1:18" ht="14.1" customHeight="1">
      <c r="A115" s="560"/>
      <c r="B115" s="90">
        <v>72.168800000000005</v>
      </c>
      <c r="C115" s="35">
        <v>0.05</v>
      </c>
      <c r="D115" s="36">
        <v>1</v>
      </c>
      <c r="E115" s="6">
        <f t="shared" si="127"/>
        <v>3.6084400000000003</v>
      </c>
      <c r="F115" s="96">
        <f t="shared" si="128"/>
        <v>3.6084400000000003</v>
      </c>
      <c r="G115" s="338"/>
      <c r="H115" s="8"/>
      <c r="I115" s="92"/>
      <c r="J115" s="337"/>
      <c r="K115" s="8"/>
      <c r="L115" s="14"/>
      <c r="M115" s="424">
        <f t="shared" si="121"/>
        <v>-3.6084400000000003</v>
      </c>
      <c r="N115" s="6">
        <f t="shared" si="122"/>
        <v>-3.6084400000000003</v>
      </c>
      <c r="O115" s="143">
        <f t="shared" si="123"/>
        <v>-3.6084400000000003</v>
      </c>
      <c r="P115" s="85">
        <f t="shared" si="124"/>
        <v>-3.6084400000000003</v>
      </c>
      <c r="Q115" s="6">
        <f t="shared" si="125"/>
        <v>-3.6084400000000003</v>
      </c>
      <c r="R115" s="96">
        <f t="shared" si="126"/>
        <v>-3.6084400000000003</v>
      </c>
    </row>
    <row r="116" spans="1:18" ht="14.1" customHeight="1">
      <c r="A116" s="560"/>
      <c r="B116" s="90">
        <v>72.168800000000005</v>
      </c>
      <c r="C116" s="35">
        <v>0.05</v>
      </c>
      <c r="D116" s="36">
        <v>1</v>
      </c>
      <c r="E116" s="6">
        <f t="shared" si="127"/>
        <v>3.6084400000000003</v>
      </c>
      <c r="F116" s="96">
        <f t="shared" si="128"/>
        <v>3.6084400000000003</v>
      </c>
      <c r="G116" s="338"/>
      <c r="H116" s="8"/>
      <c r="I116" s="92"/>
      <c r="J116" s="337"/>
      <c r="K116" s="8"/>
      <c r="L116" s="14"/>
      <c r="M116" s="424">
        <f t="shared" si="121"/>
        <v>-3.6084400000000003</v>
      </c>
      <c r="N116" s="6">
        <f t="shared" si="122"/>
        <v>-3.6084400000000003</v>
      </c>
      <c r="O116" s="143">
        <f t="shared" si="123"/>
        <v>-3.6084400000000003</v>
      </c>
      <c r="P116" s="85">
        <f t="shared" si="124"/>
        <v>-3.6084400000000003</v>
      </c>
      <c r="Q116" s="6">
        <f t="shared" si="125"/>
        <v>-3.6084400000000003</v>
      </c>
      <c r="R116" s="96">
        <f t="shared" si="126"/>
        <v>-3.6084400000000003</v>
      </c>
    </row>
    <row r="117" spans="1:18" ht="14.1" customHeight="1">
      <c r="A117" s="560"/>
      <c r="B117" s="90">
        <v>72.168800000000005</v>
      </c>
      <c r="C117" s="35">
        <v>0.05</v>
      </c>
      <c r="D117" s="36">
        <v>1</v>
      </c>
      <c r="E117" s="6">
        <f t="shared" si="127"/>
        <v>3.6084400000000003</v>
      </c>
      <c r="F117" s="96">
        <f t="shared" si="128"/>
        <v>3.6084400000000003</v>
      </c>
      <c r="G117" s="338"/>
      <c r="H117" s="8"/>
      <c r="I117" s="92"/>
      <c r="J117" s="337"/>
      <c r="K117" s="8"/>
      <c r="L117" s="14"/>
      <c r="M117" s="424">
        <f t="shared" si="121"/>
        <v>-3.6084400000000003</v>
      </c>
      <c r="N117" s="6">
        <f t="shared" si="122"/>
        <v>-3.6084400000000003</v>
      </c>
      <c r="O117" s="143">
        <f t="shared" si="123"/>
        <v>-3.6084400000000003</v>
      </c>
      <c r="P117" s="85">
        <f t="shared" si="124"/>
        <v>-3.6084400000000003</v>
      </c>
      <c r="Q117" s="6">
        <f t="shared" si="125"/>
        <v>-3.6084400000000003</v>
      </c>
      <c r="R117" s="96">
        <f t="shared" si="126"/>
        <v>-3.6084400000000003</v>
      </c>
    </row>
    <row r="118" spans="1:18" ht="14.1" customHeight="1">
      <c r="A118" s="560"/>
      <c r="B118" s="90">
        <v>72.168800000000005</v>
      </c>
      <c r="C118" s="35">
        <v>0.05</v>
      </c>
      <c r="D118" s="36">
        <v>1</v>
      </c>
      <c r="E118" s="6">
        <f t="shared" si="127"/>
        <v>3.6084400000000003</v>
      </c>
      <c r="F118" s="96">
        <f t="shared" si="128"/>
        <v>3.6084400000000003</v>
      </c>
      <c r="G118" s="338"/>
      <c r="H118" s="8"/>
      <c r="I118" s="92"/>
      <c r="J118" s="337"/>
      <c r="K118" s="8"/>
      <c r="L118" s="14"/>
      <c r="M118" s="424">
        <f t="shared" si="121"/>
        <v>-3.6084400000000003</v>
      </c>
      <c r="N118" s="6">
        <f t="shared" si="122"/>
        <v>-3.6084400000000003</v>
      </c>
      <c r="O118" s="143">
        <f t="shared" si="123"/>
        <v>-3.6084400000000003</v>
      </c>
      <c r="P118" s="85">
        <f t="shared" si="124"/>
        <v>-3.6084400000000003</v>
      </c>
      <c r="Q118" s="6">
        <f t="shared" si="125"/>
        <v>-3.6084400000000003</v>
      </c>
      <c r="R118" s="96">
        <f t="shared" si="126"/>
        <v>-3.6084400000000003</v>
      </c>
    </row>
    <row r="119" spans="1:18" ht="14.1" customHeight="1" thickBot="1">
      <c r="A119" s="561"/>
      <c r="B119" s="37">
        <v>72.168800000000005</v>
      </c>
      <c r="C119" s="38">
        <v>0.05</v>
      </c>
      <c r="D119" s="87">
        <v>1</v>
      </c>
      <c r="E119" s="17">
        <f t="shared" si="127"/>
        <v>3.6084400000000003</v>
      </c>
      <c r="F119" s="97">
        <f t="shared" si="128"/>
        <v>3.6084400000000003</v>
      </c>
      <c r="G119" s="340"/>
      <c r="H119" s="18"/>
      <c r="I119" s="93"/>
      <c r="J119" s="339"/>
      <c r="K119" s="18"/>
      <c r="L119" s="19"/>
      <c r="M119" s="429">
        <f t="shared" si="121"/>
        <v>-3.6084400000000003</v>
      </c>
      <c r="N119" s="17">
        <f t="shared" si="122"/>
        <v>-3.6084400000000003</v>
      </c>
      <c r="O119" s="144">
        <f t="shared" si="123"/>
        <v>-3.6084400000000003</v>
      </c>
      <c r="P119" s="86">
        <f t="shared" si="124"/>
        <v>-3.6084400000000003</v>
      </c>
      <c r="Q119" s="17">
        <f t="shared" si="125"/>
        <v>-3.6084400000000003</v>
      </c>
      <c r="R119" s="97">
        <f t="shared" si="126"/>
        <v>-3.6084400000000003</v>
      </c>
    </row>
  </sheetData>
  <mergeCells count="14">
    <mergeCell ref="P2:R2"/>
    <mergeCell ref="A97:A106"/>
    <mergeCell ref="A110:A119"/>
    <mergeCell ref="A19:A28"/>
    <mergeCell ref="A32:A41"/>
    <mergeCell ref="A45:A54"/>
    <mergeCell ref="A58:A67"/>
    <mergeCell ref="A71:A80"/>
    <mergeCell ref="A84:A93"/>
    <mergeCell ref="A6:A15"/>
    <mergeCell ref="B2:F2"/>
    <mergeCell ref="G2:I2"/>
    <mergeCell ref="J2:L2"/>
    <mergeCell ref="M2:O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ayfa2">
    <tabColor rgb="FF92D050"/>
  </sheetPr>
  <dimension ref="A1:R119"/>
  <sheetViews>
    <sheetView zoomScale="70" zoomScaleNormal="70" workbookViewId="0">
      <selection activeCell="U21" sqref="U21"/>
    </sheetView>
  </sheetViews>
  <sheetFormatPr defaultColWidth="10.6640625" defaultRowHeight="14.1" customHeight="1"/>
  <cols>
    <col min="1" max="1" width="13.5546875" style="125" bestFit="1" customWidth="1"/>
    <col min="2" max="3" width="10.6640625" style="125"/>
    <col min="4" max="4" width="11.5546875" style="125" bestFit="1" customWidth="1"/>
    <col min="5" max="5" width="15.6640625" style="125" bestFit="1" customWidth="1"/>
    <col min="6" max="6" width="16.33203125" style="125" customWidth="1"/>
    <col min="7" max="12" width="14.6640625" style="1" customWidth="1"/>
    <col min="13" max="13" width="13" style="102" bestFit="1" customWidth="1"/>
    <col min="14" max="18" width="10.6640625" style="102"/>
    <col min="19" max="16384" width="10.6640625" style="125"/>
  </cols>
  <sheetData>
    <row r="1" spans="1:18" s="33" customFormat="1" ht="22.5" customHeight="1" thickBot="1"/>
    <row r="2" spans="1:18" ht="18.75" customHeight="1" thickBot="1">
      <c r="B2" s="567" t="s">
        <v>1</v>
      </c>
      <c r="C2" s="568"/>
      <c r="D2" s="568"/>
      <c r="E2" s="568"/>
      <c r="F2" s="569"/>
      <c r="G2" s="568" t="s">
        <v>2</v>
      </c>
      <c r="H2" s="568"/>
      <c r="I2" s="568"/>
      <c r="J2" s="567" t="s">
        <v>3</v>
      </c>
      <c r="K2" s="568"/>
      <c r="L2" s="568"/>
      <c r="M2" s="564" t="s">
        <v>138</v>
      </c>
      <c r="N2" s="565"/>
      <c r="O2" s="566"/>
      <c r="P2" s="564" t="s">
        <v>139</v>
      </c>
      <c r="Q2" s="565"/>
      <c r="R2" s="566"/>
    </row>
    <row r="3" spans="1:18" ht="14.1" customHeight="1" thickBot="1">
      <c r="B3" s="28" t="s">
        <v>14</v>
      </c>
      <c r="C3" s="29" t="s">
        <v>143</v>
      </c>
      <c r="D3" s="30" t="s">
        <v>0</v>
      </c>
      <c r="E3" s="31" t="s">
        <v>157</v>
      </c>
      <c r="F3" s="94" t="s">
        <v>148</v>
      </c>
      <c r="G3" s="423" t="s">
        <v>154</v>
      </c>
      <c r="H3" s="23" t="s">
        <v>155</v>
      </c>
      <c r="I3" s="24" t="s">
        <v>156</v>
      </c>
      <c r="J3" s="23" t="s">
        <v>154</v>
      </c>
      <c r="K3" s="23" t="s">
        <v>155</v>
      </c>
      <c r="L3" s="187" t="s">
        <v>156</v>
      </c>
      <c r="M3" s="99" t="s">
        <v>154</v>
      </c>
      <c r="N3" s="100" t="s">
        <v>155</v>
      </c>
      <c r="O3" s="101" t="s">
        <v>156</v>
      </c>
      <c r="P3" s="99" t="s">
        <v>154</v>
      </c>
      <c r="Q3" s="100" t="s">
        <v>155</v>
      </c>
      <c r="R3" s="101" t="s">
        <v>156</v>
      </c>
    </row>
    <row r="4" spans="1:18" s="1" customFormat="1" ht="14.1" customHeight="1">
      <c r="A4" s="413" t="s">
        <v>40</v>
      </c>
      <c r="B4" s="25">
        <f t="shared" ref="B4:F4" si="0">AVERAGE(B6:B15)</f>
        <v>57.734999999999999</v>
      </c>
      <c r="C4" s="26">
        <f t="shared" si="0"/>
        <v>5</v>
      </c>
      <c r="D4" s="26">
        <f t="shared" si="0"/>
        <v>1</v>
      </c>
      <c r="E4" s="26">
        <f t="shared" si="0"/>
        <v>288.67500000000007</v>
      </c>
      <c r="F4" s="27">
        <f t="shared" si="0"/>
        <v>288.67500000000007</v>
      </c>
      <c r="G4" s="195" t="e">
        <f t="shared" ref="G4:R4" si="1">AVERAGE(G6:G15)</f>
        <v>#DIV/0!</v>
      </c>
      <c r="H4" s="26" t="e">
        <f t="shared" si="1"/>
        <v>#DIV/0!</v>
      </c>
      <c r="I4" s="27" t="e">
        <f t="shared" si="1"/>
        <v>#DIV/0!</v>
      </c>
      <c r="J4" s="26" t="e">
        <f t="shared" si="1"/>
        <v>#DIV/0!</v>
      </c>
      <c r="K4" s="26" t="e">
        <f t="shared" si="1"/>
        <v>#DIV/0!</v>
      </c>
      <c r="L4" s="32" t="e">
        <f t="shared" si="1"/>
        <v>#DIV/0!</v>
      </c>
      <c r="M4" s="145">
        <f t="shared" si="1"/>
        <v>-288.67500000000007</v>
      </c>
      <c r="N4" s="146">
        <f t="shared" si="1"/>
        <v>-288.67500000000007</v>
      </c>
      <c r="O4" s="147">
        <f>AVERAGE(O6:O15)</f>
        <v>-288.67500000000007</v>
      </c>
      <c r="P4" s="145">
        <f t="shared" si="1"/>
        <v>-288.67500000000007</v>
      </c>
      <c r="Q4" s="146">
        <f>AVERAGE(Q6:Q15)</f>
        <v>-288.67500000000007</v>
      </c>
      <c r="R4" s="147">
        <f t="shared" si="1"/>
        <v>-288.67500000000007</v>
      </c>
    </row>
    <row r="5" spans="1:18" s="135" customFormat="1" ht="14.1" customHeight="1" thickBot="1">
      <c r="A5" s="414" t="s">
        <v>41</v>
      </c>
      <c r="B5" s="139">
        <f>STDEV(B6:B15)/B4*100</f>
        <v>0</v>
      </c>
      <c r="C5" s="140">
        <f>STDEV(C6:C15)/C4*100</f>
        <v>0</v>
      </c>
      <c r="D5" s="140">
        <f>STDEV(D6:D15)/D4*100</f>
        <v>0</v>
      </c>
      <c r="E5" s="140">
        <f>STDEV(E6:E15)/F4*100</f>
        <v>2.0756291514809279E-14</v>
      </c>
      <c r="F5" s="412">
        <f>STDEV(F6:F15)/F4*100</f>
        <v>2.0756291514809279E-14</v>
      </c>
      <c r="G5" s="445" t="e">
        <f>STDEV(G6:G15)/F4*100</f>
        <v>#DIV/0!</v>
      </c>
      <c r="H5" s="141" t="e">
        <f>STDEV(H6:H15)/F4*100</f>
        <v>#DIV/0!</v>
      </c>
      <c r="I5" s="142" t="e">
        <f>STDEV(I6:I15)/F4*100</f>
        <v>#DIV/0!</v>
      </c>
      <c r="J5" s="141" t="e">
        <f>STDEV(J6:J15)/F4*100</f>
        <v>#DIV/0!</v>
      </c>
      <c r="K5" s="141" t="e">
        <f>STDEV(K6:K15)/F4*100</f>
        <v>#DIV/0!</v>
      </c>
      <c r="L5" s="188" t="e">
        <f>STDEV(L6:L15)/F4*100</f>
        <v>#DIV/0!</v>
      </c>
      <c r="M5" s="192">
        <f>100*STDEV(M6:M15)/$F$4</f>
        <v>2.0756291514809279E-14</v>
      </c>
      <c r="N5" s="193">
        <f>100*STDEV(N6:N15)/$F$4</f>
        <v>2.0756291514809279E-14</v>
      </c>
      <c r="O5" s="194">
        <f t="shared" ref="O5" si="2">100*STDEV(O6:O15)/$F$4</f>
        <v>2.0756291514809279E-14</v>
      </c>
      <c r="P5" s="192">
        <f>100*STDEV(P6:P15)/$F$4</f>
        <v>2.0756291514809279E-14</v>
      </c>
      <c r="Q5" s="193">
        <f>100*STDEV(Q6:Q15)/$F$4</f>
        <v>2.0756291514809279E-14</v>
      </c>
      <c r="R5" s="194">
        <f t="shared" ref="R5" si="3">100*STDEV(R6:R15)/$F$4</f>
        <v>2.0756291514809279E-14</v>
      </c>
    </row>
    <row r="6" spans="1:18" ht="14.1" customHeight="1">
      <c r="A6" s="559" t="s">
        <v>24</v>
      </c>
      <c r="B6" s="9">
        <v>57.734999999999999</v>
      </c>
      <c r="C6" s="10">
        <v>5</v>
      </c>
      <c r="D6" s="10">
        <v>1</v>
      </c>
      <c r="E6" s="3">
        <f>B6*C6*D6</f>
        <v>288.67500000000001</v>
      </c>
      <c r="F6" s="95">
        <f>B6*C6</f>
        <v>288.67500000000001</v>
      </c>
      <c r="G6" s="450"/>
      <c r="H6" s="240"/>
      <c r="I6" s="241"/>
      <c r="J6" s="240"/>
      <c r="K6" s="240"/>
      <c r="L6" s="246"/>
      <c r="M6" s="189">
        <f>(G6-E6)</f>
        <v>-288.67500000000001</v>
      </c>
      <c r="N6" s="132">
        <f t="shared" ref="N6:N15" si="4">(H6-E6)</f>
        <v>-288.67500000000001</v>
      </c>
      <c r="O6" s="191">
        <f t="shared" ref="O6:O15" si="5">(I6-E6)</f>
        <v>-288.67500000000001</v>
      </c>
      <c r="P6" s="189">
        <f t="shared" ref="P6:P15" si="6">(J6-E6)</f>
        <v>-288.67500000000001</v>
      </c>
      <c r="Q6" s="132">
        <f t="shared" ref="Q6:Q15" si="7">(K6-E6)</f>
        <v>-288.67500000000001</v>
      </c>
      <c r="R6" s="191">
        <f t="shared" ref="R6:R15" si="8">(L6-E6)</f>
        <v>-288.67500000000001</v>
      </c>
    </row>
    <row r="7" spans="1:18" ht="14.1" customHeight="1">
      <c r="A7" s="560"/>
      <c r="B7" s="85">
        <v>57.734999999999999</v>
      </c>
      <c r="C7" s="36">
        <v>5</v>
      </c>
      <c r="D7" s="36">
        <v>1</v>
      </c>
      <c r="E7" s="6">
        <f t="shared" ref="E7:E10" si="9">B7*C7*D7</f>
        <v>288.67500000000001</v>
      </c>
      <c r="F7" s="96">
        <f t="shared" ref="F7:F10" si="10">B7*C7</f>
        <v>288.67500000000001</v>
      </c>
      <c r="G7" s="451"/>
      <c r="H7" s="242"/>
      <c r="I7" s="243"/>
      <c r="J7" s="242"/>
      <c r="K7" s="242"/>
      <c r="L7" s="247"/>
      <c r="M7" s="85">
        <f t="shared" ref="M7:M15" si="11">(G7-E7)</f>
        <v>-288.67500000000001</v>
      </c>
      <c r="N7" s="6">
        <f t="shared" si="4"/>
        <v>-288.67500000000001</v>
      </c>
      <c r="O7" s="96">
        <f t="shared" si="5"/>
        <v>-288.67500000000001</v>
      </c>
      <c r="P7" s="85">
        <f t="shared" si="6"/>
        <v>-288.67500000000001</v>
      </c>
      <c r="Q7" s="6">
        <f t="shared" si="7"/>
        <v>-288.67500000000001</v>
      </c>
      <c r="R7" s="96">
        <f t="shared" si="8"/>
        <v>-288.67500000000001</v>
      </c>
    </row>
    <row r="8" spans="1:18" ht="14.1" customHeight="1">
      <c r="A8" s="560"/>
      <c r="B8" s="85">
        <v>57.734999999999999</v>
      </c>
      <c r="C8" s="36">
        <v>5</v>
      </c>
      <c r="D8" s="36">
        <v>1</v>
      </c>
      <c r="E8" s="6">
        <f t="shared" si="9"/>
        <v>288.67500000000001</v>
      </c>
      <c r="F8" s="96">
        <f t="shared" si="10"/>
        <v>288.67500000000001</v>
      </c>
      <c r="G8" s="451"/>
      <c r="H8" s="242"/>
      <c r="I8" s="243"/>
      <c r="J8" s="242"/>
      <c r="K8" s="242"/>
      <c r="L8" s="247"/>
      <c r="M8" s="85">
        <f t="shared" si="11"/>
        <v>-288.67500000000001</v>
      </c>
      <c r="N8" s="6">
        <f t="shared" si="4"/>
        <v>-288.67500000000001</v>
      </c>
      <c r="O8" s="96">
        <f t="shared" si="5"/>
        <v>-288.67500000000001</v>
      </c>
      <c r="P8" s="85">
        <f t="shared" si="6"/>
        <v>-288.67500000000001</v>
      </c>
      <c r="Q8" s="6">
        <f t="shared" si="7"/>
        <v>-288.67500000000001</v>
      </c>
      <c r="R8" s="96">
        <f t="shared" si="8"/>
        <v>-288.67500000000001</v>
      </c>
    </row>
    <row r="9" spans="1:18" ht="14.1" customHeight="1">
      <c r="A9" s="560"/>
      <c r="B9" s="85">
        <v>57.734999999999999</v>
      </c>
      <c r="C9" s="36">
        <v>5</v>
      </c>
      <c r="D9" s="36">
        <v>1</v>
      </c>
      <c r="E9" s="6">
        <f t="shared" si="9"/>
        <v>288.67500000000001</v>
      </c>
      <c r="F9" s="96">
        <f t="shared" si="10"/>
        <v>288.67500000000001</v>
      </c>
      <c r="G9" s="451"/>
      <c r="H9" s="242"/>
      <c r="I9" s="243"/>
      <c r="J9" s="242"/>
      <c r="K9" s="242"/>
      <c r="L9" s="247"/>
      <c r="M9" s="85">
        <f t="shared" si="11"/>
        <v>-288.67500000000001</v>
      </c>
      <c r="N9" s="6">
        <f t="shared" si="4"/>
        <v>-288.67500000000001</v>
      </c>
      <c r="O9" s="96">
        <f t="shared" si="5"/>
        <v>-288.67500000000001</v>
      </c>
      <c r="P9" s="85">
        <f t="shared" si="6"/>
        <v>-288.67500000000001</v>
      </c>
      <c r="Q9" s="6">
        <f t="shared" si="7"/>
        <v>-288.67500000000001</v>
      </c>
      <c r="R9" s="96">
        <f t="shared" si="8"/>
        <v>-288.67500000000001</v>
      </c>
    </row>
    <row r="10" spans="1:18" ht="14.1" customHeight="1">
      <c r="A10" s="560"/>
      <c r="B10" s="85">
        <v>57.734999999999999</v>
      </c>
      <c r="C10" s="36">
        <v>5</v>
      </c>
      <c r="D10" s="36">
        <v>1</v>
      </c>
      <c r="E10" s="6">
        <f t="shared" si="9"/>
        <v>288.67500000000001</v>
      </c>
      <c r="F10" s="96">
        <f t="shared" si="10"/>
        <v>288.67500000000001</v>
      </c>
      <c r="G10" s="451"/>
      <c r="H10" s="242"/>
      <c r="I10" s="243"/>
      <c r="J10" s="242"/>
      <c r="K10" s="242"/>
      <c r="L10" s="247"/>
      <c r="M10" s="85">
        <f t="shared" si="11"/>
        <v>-288.67500000000001</v>
      </c>
      <c r="N10" s="6">
        <f t="shared" si="4"/>
        <v>-288.67500000000001</v>
      </c>
      <c r="O10" s="96">
        <f t="shared" si="5"/>
        <v>-288.67500000000001</v>
      </c>
      <c r="P10" s="85">
        <f t="shared" si="6"/>
        <v>-288.67500000000001</v>
      </c>
      <c r="Q10" s="6">
        <f t="shared" si="7"/>
        <v>-288.67500000000001</v>
      </c>
      <c r="R10" s="96">
        <f t="shared" si="8"/>
        <v>-288.67500000000001</v>
      </c>
    </row>
    <row r="11" spans="1:18" ht="14.1" customHeight="1">
      <c r="A11" s="560"/>
      <c r="B11" s="85">
        <v>57.734999999999999</v>
      </c>
      <c r="C11" s="36">
        <v>5</v>
      </c>
      <c r="D11" s="36">
        <v>1</v>
      </c>
      <c r="E11" s="6">
        <f>B11*C11*D11</f>
        <v>288.67500000000001</v>
      </c>
      <c r="F11" s="96">
        <f>B11*C11</f>
        <v>288.67500000000001</v>
      </c>
      <c r="G11" s="451"/>
      <c r="H11" s="242"/>
      <c r="I11" s="243"/>
      <c r="J11" s="242"/>
      <c r="K11" s="242"/>
      <c r="L11" s="247"/>
      <c r="M11" s="85">
        <f t="shared" si="11"/>
        <v>-288.67500000000001</v>
      </c>
      <c r="N11" s="6">
        <f t="shared" si="4"/>
        <v>-288.67500000000001</v>
      </c>
      <c r="O11" s="96">
        <f t="shared" si="5"/>
        <v>-288.67500000000001</v>
      </c>
      <c r="P11" s="85">
        <f t="shared" si="6"/>
        <v>-288.67500000000001</v>
      </c>
      <c r="Q11" s="6">
        <f t="shared" si="7"/>
        <v>-288.67500000000001</v>
      </c>
      <c r="R11" s="96">
        <f t="shared" si="8"/>
        <v>-288.67500000000001</v>
      </c>
    </row>
    <row r="12" spans="1:18" ht="14.1" customHeight="1">
      <c r="A12" s="560"/>
      <c r="B12" s="85">
        <v>57.734999999999999</v>
      </c>
      <c r="C12" s="36">
        <v>5</v>
      </c>
      <c r="D12" s="36">
        <v>1</v>
      </c>
      <c r="E12" s="6">
        <f t="shared" ref="E12:E15" si="12">B12*C12*D12</f>
        <v>288.67500000000001</v>
      </c>
      <c r="F12" s="96">
        <f t="shared" ref="F12:F15" si="13">B12*C12</f>
        <v>288.67500000000001</v>
      </c>
      <c r="G12" s="451"/>
      <c r="H12" s="242"/>
      <c r="I12" s="243"/>
      <c r="J12" s="242"/>
      <c r="K12" s="242"/>
      <c r="L12" s="247"/>
      <c r="M12" s="85">
        <f t="shared" si="11"/>
        <v>-288.67500000000001</v>
      </c>
      <c r="N12" s="6">
        <f t="shared" si="4"/>
        <v>-288.67500000000001</v>
      </c>
      <c r="O12" s="96">
        <f t="shared" si="5"/>
        <v>-288.67500000000001</v>
      </c>
      <c r="P12" s="85">
        <f t="shared" si="6"/>
        <v>-288.67500000000001</v>
      </c>
      <c r="Q12" s="6">
        <f t="shared" si="7"/>
        <v>-288.67500000000001</v>
      </c>
      <c r="R12" s="96">
        <f t="shared" si="8"/>
        <v>-288.67500000000001</v>
      </c>
    </row>
    <row r="13" spans="1:18" ht="14.1" customHeight="1">
      <c r="A13" s="560"/>
      <c r="B13" s="85">
        <v>57.734999999999999</v>
      </c>
      <c r="C13" s="36">
        <v>5</v>
      </c>
      <c r="D13" s="36">
        <v>1</v>
      </c>
      <c r="E13" s="6">
        <f t="shared" si="12"/>
        <v>288.67500000000001</v>
      </c>
      <c r="F13" s="96">
        <f t="shared" si="13"/>
        <v>288.67500000000001</v>
      </c>
      <c r="G13" s="451"/>
      <c r="H13" s="242"/>
      <c r="I13" s="243"/>
      <c r="J13" s="242"/>
      <c r="K13" s="242"/>
      <c r="L13" s="247"/>
      <c r="M13" s="85">
        <f t="shared" si="11"/>
        <v>-288.67500000000001</v>
      </c>
      <c r="N13" s="6">
        <f t="shared" si="4"/>
        <v>-288.67500000000001</v>
      </c>
      <c r="O13" s="96">
        <f t="shared" si="5"/>
        <v>-288.67500000000001</v>
      </c>
      <c r="P13" s="85">
        <f t="shared" si="6"/>
        <v>-288.67500000000001</v>
      </c>
      <c r="Q13" s="6">
        <f t="shared" si="7"/>
        <v>-288.67500000000001</v>
      </c>
      <c r="R13" s="96">
        <f t="shared" si="8"/>
        <v>-288.67500000000001</v>
      </c>
    </row>
    <row r="14" spans="1:18" ht="14.1" customHeight="1">
      <c r="A14" s="560"/>
      <c r="B14" s="85">
        <v>57.734999999999999</v>
      </c>
      <c r="C14" s="36">
        <v>5</v>
      </c>
      <c r="D14" s="36">
        <v>1</v>
      </c>
      <c r="E14" s="6">
        <f t="shared" si="12"/>
        <v>288.67500000000001</v>
      </c>
      <c r="F14" s="96">
        <f t="shared" si="13"/>
        <v>288.67500000000001</v>
      </c>
      <c r="G14" s="451"/>
      <c r="H14" s="242"/>
      <c r="I14" s="243"/>
      <c r="J14" s="242"/>
      <c r="K14" s="242"/>
      <c r="L14" s="247"/>
      <c r="M14" s="85">
        <f t="shared" si="11"/>
        <v>-288.67500000000001</v>
      </c>
      <c r="N14" s="6">
        <f t="shared" si="4"/>
        <v>-288.67500000000001</v>
      </c>
      <c r="O14" s="96">
        <f t="shared" si="5"/>
        <v>-288.67500000000001</v>
      </c>
      <c r="P14" s="85">
        <f t="shared" si="6"/>
        <v>-288.67500000000001</v>
      </c>
      <c r="Q14" s="6">
        <f t="shared" si="7"/>
        <v>-288.67500000000001</v>
      </c>
      <c r="R14" s="96">
        <f t="shared" si="8"/>
        <v>-288.67500000000001</v>
      </c>
    </row>
    <row r="15" spans="1:18" ht="14.1" customHeight="1" thickBot="1">
      <c r="A15" s="561"/>
      <c r="B15" s="86">
        <v>57.734999999999999</v>
      </c>
      <c r="C15" s="87">
        <v>5</v>
      </c>
      <c r="D15" s="87">
        <v>1</v>
      </c>
      <c r="E15" s="17">
        <f t="shared" si="12"/>
        <v>288.67500000000001</v>
      </c>
      <c r="F15" s="97">
        <f t="shared" si="13"/>
        <v>288.67500000000001</v>
      </c>
      <c r="G15" s="452"/>
      <c r="H15" s="244"/>
      <c r="I15" s="245"/>
      <c r="J15" s="244"/>
      <c r="K15" s="244"/>
      <c r="L15" s="248"/>
      <c r="M15" s="86">
        <f t="shared" si="11"/>
        <v>-288.67500000000001</v>
      </c>
      <c r="N15" s="17">
        <f t="shared" si="4"/>
        <v>-288.67500000000001</v>
      </c>
      <c r="O15" s="97">
        <f t="shared" si="5"/>
        <v>-288.67500000000001</v>
      </c>
      <c r="P15" s="86">
        <f t="shared" si="6"/>
        <v>-288.67500000000001</v>
      </c>
      <c r="Q15" s="17">
        <f t="shared" si="7"/>
        <v>-288.67500000000001</v>
      </c>
      <c r="R15" s="97">
        <f t="shared" si="8"/>
        <v>-288.67500000000001</v>
      </c>
    </row>
    <row r="16" spans="1:18" ht="14.1" customHeight="1">
      <c r="B16" s="28" t="s">
        <v>14</v>
      </c>
      <c r="C16" s="29" t="s">
        <v>143</v>
      </c>
      <c r="D16" s="30" t="s">
        <v>0</v>
      </c>
      <c r="E16" s="31" t="s">
        <v>157</v>
      </c>
      <c r="F16" s="94" t="s">
        <v>148</v>
      </c>
      <c r="G16" s="423" t="s">
        <v>154</v>
      </c>
      <c r="H16" s="23" t="s">
        <v>155</v>
      </c>
      <c r="I16" s="24" t="s">
        <v>156</v>
      </c>
      <c r="J16" s="23" t="s">
        <v>154</v>
      </c>
      <c r="K16" s="23" t="s">
        <v>155</v>
      </c>
      <c r="L16" s="187" t="s">
        <v>156</v>
      </c>
      <c r="M16" s="99" t="s">
        <v>154</v>
      </c>
      <c r="N16" s="100" t="s">
        <v>155</v>
      </c>
      <c r="O16" s="101" t="s">
        <v>156</v>
      </c>
      <c r="P16" s="99" t="s">
        <v>154</v>
      </c>
      <c r="Q16" s="100" t="s">
        <v>155</v>
      </c>
      <c r="R16" s="101" t="s">
        <v>156</v>
      </c>
    </row>
    <row r="17" spans="1:18" s="1" customFormat="1" ht="14.1" customHeight="1">
      <c r="B17" s="25">
        <f t="shared" ref="B17:F17" si="14">AVERAGE(B19:B28)</f>
        <v>57.734999999999999</v>
      </c>
      <c r="C17" s="26">
        <f t="shared" si="14"/>
        <v>5</v>
      </c>
      <c r="D17" s="26">
        <f t="shared" si="14"/>
        <v>0.5</v>
      </c>
      <c r="E17" s="26">
        <f t="shared" si="14"/>
        <v>144.33750000000003</v>
      </c>
      <c r="F17" s="27">
        <f t="shared" si="14"/>
        <v>288.67500000000007</v>
      </c>
      <c r="G17" s="195" t="e">
        <f t="shared" ref="G17:N17" si="15">AVERAGE(G19:G28)</f>
        <v>#DIV/0!</v>
      </c>
      <c r="H17" s="26" t="e">
        <f t="shared" si="15"/>
        <v>#DIV/0!</v>
      </c>
      <c r="I17" s="27" t="e">
        <f t="shared" si="15"/>
        <v>#DIV/0!</v>
      </c>
      <c r="J17" s="26" t="e">
        <f t="shared" si="15"/>
        <v>#DIV/0!</v>
      </c>
      <c r="K17" s="26" t="e">
        <f t="shared" si="15"/>
        <v>#DIV/0!</v>
      </c>
      <c r="L17" s="32" t="e">
        <f t="shared" si="15"/>
        <v>#DIV/0!</v>
      </c>
      <c r="M17" s="145">
        <f t="shared" si="15"/>
        <v>-144.33750000000003</v>
      </c>
      <c r="N17" s="146">
        <f t="shared" si="15"/>
        <v>-144.33750000000003</v>
      </c>
      <c r="O17" s="147">
        <f>AVERAGE(O19:O28)</f>
        <v>-144.33750000000003</v>
      </c>
      <c r="P17" s="145">
        <f t="shared" ref="P17" si="16">AVERAGE(P19:P28)</f>
        <v>-144.33750000000003</v>
      </c>
      <c r="Q17" s="146">
        <f>AVERAGE(Q19:Q28)</f>
        <v>-144.33750000000003</v>
      </c>
      <c r="R17" s="147">
        <f t="shared" ref="R17" si="17">AVERAGE(R19:R28)</f>
        <v>-144.33750000000003</v>
      </c>
    </row>
    <row r="18" spans="1:18" s="135" customFormat="1" ht="14.1" customHeight="1" thickBot="1">
      <c r="B18" s="136">
        <f>STDEV(B19:B28)/B17*100</f>
        <v>0</v>
      </c>
      <c r="C18" s="137">
        <f>STDEV(C19:C28)/C17*100</f>
        <v>0</v>
      </c>
      <c r="D18" s="140">
        <f>STDEV(D19:D28)/D17*100</f>
        <v>0</v>
      </c>
      <c r="E18" s="137">
        <f>STDEV(E19:E28)/F17*100</f>
        <v>1.037814575740464E-14</v>
      </c>
      <c r="F18" s="148">
        <f>STDEV(F19:F28)/F17*100</f>
        <v>2.0756291514809279E-14</v>
      </c>
      <c r="G18" s="445" t="e">
        <f>STDEV(G19:G28)/F17*100</f>
        <v>#DIV/0!</v>
      </c>
      <c r="H18" s="141" t="e">
        <f>STDEV(H19:H28)/F17*100</f>
        <v>#DIV/0!</v>
      </c>
      <c r="I18" s="142" t="e">
        <f>STDEV(I19:I28)/F17*100</f>
        <v>#DIV/0!</v>
      </c>
      <c r="J18" s="141" t="e">
        <f>STDEV(J19:J28)/F17*100</f>
        <v>#DIV/0!</v>
      </c>
      <c r="K18" s="141" t="e">
        <f>STDEV(K19:K28)/F17*100</f>
        <v>#DIV/0!</v>
      </c>
      <c r="L18" s="188" t="e">
        <f>STDEV(L19:L28)/F17*100</f>
        <v>#DIV/0!</v>
      </c>
      <c r="M18" s="192">
        <f>100*STDEV(M19:M28)/$F$17</f>
        <v>1.037814575740464E-14</v>
      </c>
      <c r="N18" s="193">
        <f t="shared" ref="N18:O18" si="18">100*STDEV(N19:N28)/$F$17</f>
        <v>1.037814575740464E-14</v>
      </c>
      <c r="O18" s="194">
        <f t="shared" si="18"/>
        <v>1.037814575740464E-14</v>
      </c>
      <c r="P18" s="192">
        <f>100*STDEV(P19:P28)/$F$17</f>
        <v>1.037814575740464E-14</v>
      </c>
      <c r="Q18" s="193">
        <f t="shared" ref="Q18" si="19">100*STDEV(Q19:Q28)/$F$17</f>
        <v>1.037814575740464E-14</v>
      </c>
      <c r="R18" s="194">
        <f t="shared" ref="R18" si="20">100*STDEV(R19:R28)/$F$17</f>
        <v>1.037814575740464E-14</v>
      </c>
    </row>
    <row r="19" spans="1:18" ht="14.1" customHeight="1">
      <c r="A19" s="559" t="s">
        <v>22</v>
      </c>
      <c r="B19" s="9">
        <v>57.734999999999999</v>
      </c>
      <c r="C19" s="10">
        <v>5</v>
      </c>
      <c r="D19" s="20">
        <v>0.5</v>
      </c>
      <c r="E19" s="3">
        <f>B19*C19*D19</f>
        <v>144.33750000000001</v>
      </c>
      <c r="F19" s="95">
        <f>B19*C19</f>
        <v>288.67500000000001</v>
      </c>
      <c r="G19" s="450"/>
      <c r="H19" s="240"/>
      <c r="I19" s="241"/>
      <c r="J19" s="240"/>
      <c r="K19" s="240"/>
      <c r="L19" s="246"/>
      <c r="M19" s="189">
        <f t="shared" ref="M19:M28" si="21">(G19-E19)</f>
        <v>-144.33750000000001</v>
      </c>
      <c r="N19" s="132">
        <f t="shared" ref="N19:N28" si="22">(H19-E19)</f>
        <v>-144.33750000000001</v>
      </c>
      <c r="O19" s="191">
        <f t="shared" ref="O19:O28" si="23">(I19-E19)</f>
        <v>-144.33750000000001</v>
      </c>
      <c r="P19" s="189">
        <f t="shared" ref="P19:P28" si="24">(J19-E19)</f>
        <v>-144.33750000000001</v>
      </c>
      <c r="Q19" s="132">
        <f t="shared" ref="Q19:Q28" si="25">(K19-E19)</f>
        <v>-144.33750000000001</v>
      </c>
      <c r="R19" s="191">
        <f t="shared" ref="R19:R28" si="26">(L19-E19)</f>
        <v>-144.33750000000001</v>
      </c>
    </row>
    <row r="20" spans="1:18" ht="14.1" customHeight="1">
      <c r="A20" s="560"/>
      <c r="B20" s="85">
        <v>57.734999999999999</v>
      </c>
      <c r="C20" s="36">
        <v>5</v>
      </c>
      <c r="D20" s="7">
        <v>0.5</v>
      </c>
      <c r="E20" s="6">
        <f t="shared" ref="E20:E23" si="27">B20*C20*D20</f>
        <v>144.33750000000001</v>
      </c>
      <c r="F20" s="96">
        <f t="shared" ref="F20:F23" si="28">B20*C20</f>
        <v>288.67500000000001</v>
      </c>
      <c r="G20" s="451"/>
      <c r="H20" s="242"/>
      <c r="I20" s="243"/>
      <c r="J20" s="242"/>
      <c r="K20" s="242"/>
      <c r="L20" s="247"/>
      <c r="M20" s="85">
        <f t="shared" si="21"/>
        <v>-144.33750000000001</v>
      </c>
      <c r="N20" s="6">
        <f t="shared" si="22"/>
        <v>-144.33750000000001</v>
      </c>
      <c r="O20" s="96">
        <f t="shared" si="23"/>
        <v>-144.33750000000001</v>
      </c>
      <c r="P20" s="85">
        <f t="shared" si="24"/>
        <v>-144.33750000000001</v>
      </c>
      <c r="Q20" s="6">
        <f t="shared" si="25"/>
        <v>-144.33750000000001</v>
      </c>
      <c r="R20" s="96">
        <f t="shared" si="26"/>
        <v>-144.33750000000001</v>
      </c>
    </row>
    <row r="21" spans="1:18" ht="14.1" customHeight="1">
      <c r="A21" s="560"/>
      <c r="B21" s="85">
        <v>57.734999999999999</v>
      </c>
      <c r="C21" s="36">
        <v>5</v>
      </c>
      <c r="D21" s="7">
        <v>0.5</v>
      </c>
      <c r="E21" s="6">
        <f t="shared" si="27"/>
        <v>144.33750000000001</v>
      </c>
      <c r="F21" s="96">
        <f t="shared" si="28"/>
        <v>288.67500000000001</v>
      </c>
      <c r="G21" s="451"/>
      <c r="H21" s="242"/>
      <c r="I21" s="243"/>
      <c r="J21" s="242"/>
      <c r="K21" s="242"/>
      <c r="L21" s="247"/>
      <c r="M21" s="85">
        <f t="shared" si="21"/>
        <v>-144.33750000000001</v>
      </c>
      <c r="N21" s="6">
        <f t="shared" si="22"/>
        <v>-144.33750000000001</v>
      </c>
      <c r="O21" s="96">
        <f t="shared" si="23"/>
        <v>-144.33750000000001</v>
      </c>
      <c r="P21" s="85">
        <f t="shared" si="24"/>
        <v>-144.33750000000001</v>
      </c>
      <c r="Q21" s="6">
        <f t="shared" si="25"/>
        <v>-144.33750000000001</v>
      </c>
      <c r="R21" s="96">
        <f t="shared" si="26"/>
        <v>-144.33750000000001</v>
      </c>
    </row>
    <row r="22" spans="1:18" ht="14.1" customHeight="1">
      <c r="A22" s="560"/>
      <c r="B22" s="85">
        <v>57.734999999999999</v>
      </c>
      <c r="C22" s="36">
        <v>5</v>
      </c>
      <c r="D22" s="7">
        <v>0.5</v>
      </c>
      <c r="E22" s="6">
        <f t="shared" si="27"/>
        <v>144.33750000000001</v>
      </c>
      <c r="F22" s="96">
        <f t="shared" si="28"/>
        <v>288.67500000000001</v>
      </c>
      <c r="G22" s="451"/>
      <c r="H22" s="242"/>
      <c r="I22" s="243"/>
      <c r="J22" s="242"/>
      <c r="K22" s="242"/>
      <c r="L22" s="247"/>
      <c r="M22" s="85">
        <f t="shared" si="21"/>
        <v>-144.33750000000001</v>
      </c>
      <c r="N22" s="6">
        <f t="shared" si="22"/>
        <v>-144.33750000000001</v>
      </c>
      <c r="O22" s="96">
        <f t="shared" si="23"/>
        <v>-144.33750000000001</v>
      </c>
      <c r="P22" s="85">
        <f t="shared" si="24"/>
        <v>-144.33750000000001</v>
      </c>
      <c r="Q22" s="6">
        <f t="shared" si="25"/>
        <v>-144.33750000000001</v>
      </c>
      <c r="R22" s="96">
        <f t="shared" si="26"/>
        <v>-144.33750000000001</v>
      </c>
    </row>
    <row r="23" spans="1:18" ht="14.1" customHeight="1">
      <c r="A23" s="560"/>
      <c r="B23" s="85">
        <v>57.734999999999999</v>
      </c>
      <c r="C23" s="36">
        <v>5</v>
      </c>
      <c r="D23" s="7">
        <v>0.5</v>
      </c>
      <c r="E23" s="6">
        <f t="shared" si="27"/>
        <v>144.33750000000001</v>
      </c>
      <c r="F23" s="96">
        <f t="shared" si="28"/>
        <v>288.67500000000001</v>
      </c>
      <c r="G23" s="451"/>
      <c r="H23" s="242"/>
      <c r="I23" s="243"/>
      <c r="J23" s="242"/>
      <c r="K23" s="242"/>
      <c r="L23" s="247"/>
      <c r="M23" s="85">
        <f t="shared" si="21"/>
        <v>-144.33750000000001</v>
      </c>
      <c r="N23" s="6">
        <f t="shared" si="22"/>
        <v>-144.33750000000001</v>
      </c>
      <c r="O23" s="96">
        <f t="shared" si="23"/>
        <v>-144.33750000000001</v>
      </c>
      <c r="P23" s="85">
        <f t="shared" si="24"/>
        <v>-144.33750000000001</v>
      </c>
      <c r="Q23" s="6">
        <f t="shared" si="25"/>
        <v>-144.33750000000001</v>
      </c>
      <c r="R23" s="96">
        <f t="shared" si="26"/>
        <v>-144.33750000000001</v>
      </c>
    </row>
    <row r="24" spans="1:18" ht="14.1" customHeight="1">
      <c r="A24" s="560"/>
      <c r="B24" s="85">
        <v>57.734999999999999</v>
      </c>
      <c r="C24" s="36">
        <v>5</v>
      </c>
      <c r="D24" s="7">
        <v>0.5</v>
      </c>
      <c r="E24" s="6">
        <f>B24*C24*D24</f>
        <v>144.33750000000001</v>
      </c>
      <c r="F24" s="96">
        <f>B24*C24</f>
        <v>288.67500000000001</v>
      </c>
      <c r="G24" s="451"/>
      <c r="H24" s="242"/>
      <c r="I24" s="243"/>
      <c r="J24" s="242"/>
      <c r="K24" s="242"/>
      <c r="L24" s="247"/>
      <c r="M24" s="85">
        <f t="shared" si="21"/>
        <v>-144.33750000000001</v>
      </c>
      <c r="N24" s="6">
        <f t="shared" si="22"/>
        <v>-144.33750000000001</v>
      </c>
      <c r="O24" s="96">
        <f t="shared" si="23"/>
        <v>-144.33750000000001</v>
      </c>
      <c r="P24" s="85">
        <f t="shared" si="24"/>
        <v>-144.33750000000001</v>
      </c>
      <c r="Q24" s="6">
        <f t="shared" si="25"/>
        <v>-144.33750000000001</v>
      </c>
      <c r="R24" s="96">
        <f t="shared" si="26"/>
        <v>-144.33750000000001</v>
      </c>
    </row>
    <row r="25" spans="1:18" ht="14.1" customHeight="1">
      <c r="A25" s="560"/>
      <c r="B25" s="85">
        <v>57.734999999999999</v>
      </c>
      <c r="C25" s="36">
        <v>5</v>
      </c>
      <c r="D25" s="7">
        <v>0.5</v>
      </c>
      <c r="E25" s="6">
        <f t="shared" ref="E25:E28" si="29">B25*C25*D25</f>
        <v>144.33750000000001</v>
      </c>
      <c r="F25" s="96">
        <f t="shared" ref="F25:F28" si="30">B25*C25</f>
        <v>288.67500000000001</v>
      </c>
      <c r="G25" s="451"/>
      <c r="H25" s="242"/>
      <c r="I25" s="243"/>
      <c r="J25" s="242"/>
      <c r="K25" s="242"/>
      <c r="L25" s="247"/>
      <c r="M25" s="85">
        <f t="shared" si="21"/>
        <v>-144.33750000000001</v>
      </c>
      <c r="N25" s="6">
        <f t="shared" si="22"/>
        <v>-144.33750000000001</v>
      </c>
      <c r="O25" s="96">
        <f t="shared" si="23"/>
        <v>-144.33750000000001</v>
      </c>
      <c r="P25" s="85">
        <f t="shared" si="24"/>
        <v>-144.33750000000001</v>
      </c>
      <c r="Q25" s="6">
        <f t="shared" si="25"/>
        <v>-144.33750000000001</v>
      </c>
      <c r="R25" s="96">
        <f t="shared" si="26"/>
        <v>-144.33750000000001</v>
      </c>
    </row>
    <row r="26" spans="1:18" ht="14.1" customHeight="1">
      <c r="A26" s="560"/>
      <c r="B26" s="85">
        <v>57.734999999999999</v>
      </c>
      <c r="C26" s="36">
        <v>5</v>
      </c>
      <c r="D26" s="7">
        <v>0.5</v>
      </c>
      <c r="E26" s="6">
        <f t="shared" si="29"/>
        <v>144.33750000000001</v>
      </c>
      <c r="F26" s="96">
        <f t="shared" si="30"/>
        <v>288.67500000000001</v>
      </c>
      <c r="G26" s="451"/>
      <c r="H26" s="242"/>
      <c r="I26" s="243"/>
      <c r="J26" s="242"/>
      <c r="K26" s="242"/>
      <c r="L26" s="247"/>
      <c r="M26" s="85">
        <f t="shared" si="21"/>
        <v>-144.33750000000001</v>
      </c>
      <c r="N26" s="6">
        <f t="shared" si="22"/>
        <v>-144.33750000000001</v>
      </c>
      <c r="O26" s="96">
        <f t="shared" si="23"/>
        <v>-144.33750000000001</v>
      </c>
      <c r="P26" s="85">
        <f t="shared" si="24"/>
        <v>-144.33750000000001</v>
      </c>
      <c r="Q26" s="6">
        <f t="shared" si="25"/>
        <v>-144.33750000000001</v>
      </c>
      <c r="R26" s="96">
        <f t="shared" si="26"/>
        <v>-144.33750000000001</v>
      </c>
    </row>
    <row r="27" spans="1:18" ht="14.1" customHeight="1">
      <c r="A27" s="560"/>
      <c r="B27" s="85">
        <v>57.734999999999999</v>
      </c>
      <c r="C27" s="36">
        <v>5</v>
      </c>
      <c r="D27" s="7">
        <v>0.5</v>
      </c>
      <c r="E27" s="6">
        <f t="shared" si="29"/>
        <v>144.33750000000001</v>
      </c>
      <c r="F27" s="96">
        <f t="shared" si="30"/>
        <v>288.67500000000001</v>
      </c>
      <c r="G27" s="451"/>
      <c r="H27" s="242"/>
      <c r="I27" s="243"/>
      <c r="J27" s="242"/>
      <c r="K27" s="242"/>
      <c r="L27" s="247"/>
      <c r="M27" s="85">
        <f t="shared" si="21"/>
        <v>-144.33750000000001</v>
      </c>
      <c r="N27" s="6">
        <f t="shared" si="22"/>
        <v>-144.33750000000001</v>
      </c>
      <c r="O27" s="96">
        <f t="shared" si="23"/>
        <v>-144.33750000000001</v>
      </c>
      <c r="P27" s="85">
        <f t="shared" si="24"/>
        <v>-144.33750000000001</v>
      </c>
      <c r="Q27" s="6">
        <f t="shared" si="25"/>
        <v>-144.33750000000001</v>
      </c>
      <c r="R27" s="96">
        <f t="shared" si="26"/>
        <v>-144.33750000000001</v>
      </c>
    </row>
    <row r="28" spans="1:18" ht="14.1" customHeight="1" thickBot="1">
      <c r="A28" s="561"/>
      <c r="B28" s="86">
        <v>57.734999999999999</v>
      </c>
      <c r="C28" s="87">
        <v>5</v>
      </c>
      <c r="D28" s="21">
        <v>0.5</v>
      </c>
      <c r="E28" s="17">
        <f t="shared" si="29"/>
        <v>144.33750000000001</v>
      </c>
      <c r="F28" s="97">
        <f t="shared" si="30"/>
        <v>288.67500000000001</v>
      </c>
      <c r="G28" s="452"/>
      <c r="H28" s="244"/>
      <c r="I28" s="245"/>
      <c r="J28" s="244"/>
      <c r="K28" s="244"/>
      <c r="L28" s="248"/>
      <c r="M28" s="86">
        <f t="shared" si="21"/>
        <v>-144.33750000000001</v>
      </c>
      <c r="N28" s="17">
        <f t="shared" si="22"/>
        <v>-144.33750000000001</v>
      </c>
      <c r="O28" s="97">
        <f t="shared" si="23"/>
        <v>-144.33750000000001</v>
      </c>
      <c r="P28" s="86">
        <f t="shared" si="24"/>
        <v>-144.33750000000001</v>
      </c>
      <c r="Q28" s="17">
        <f t="shared" si="25"/>
        <v>-144.33750000000001</v>
      </c>
      <c r="R28" s="97">
        <f t="shared" si="26"/>
        <v>-144.33750000000001</v>
      </c>
    </row>
    <row r="29" spans="1:18" ht="14.1" customHeight="1">
      <c r="B29" s="28" t="s">
        <v>14</v>
      </c>
      <c r="C29" s="29" t="s">
        <v>143</v>
      </c>
      <c r="D29" s="30" t="s">
        <v>0</v>
      </c>
      <c r="E29" s="31" t="s">
        <v>157</v>
      </c>
      <c r="F29" s="94" t="s">
        <v>148</v>
      </c>
      <c r="G29" s="423" t="s">
        <v>154</v>
      </c>
      <c r="H29" s="23" t="s">
        <v>155</v>
      </c>
      <c r="I29" s="24" t="s">
        <v>156</v>
      </c>
      <c r="J29" s="23" t="s">
        <v>154</v>
      </c>
      <c r="K29" s="23" t="s">
        <v>155</v>
      </c>
      <c r="L29" s="187" t="s">
        <v>156</v>
      </c>
      <c r="M29" s="99" t="s">
        <v>154</v>
      </c>
      <c r="N29" s="100" t="s">
        <v>155</v>
      </c>
      <c r="O29" s="101" t="s">
        <v>156</v>
      </c>
      <c r="P29" s="99" t="s">
        <v>154</v>
      </c>
      <c r="Q29" s="100" t="s">
        <v>155</v>
      </c>
      <c r="R29" s="101" t="s">
        <v>156</v>
      </c>
    </row>
    <row r="30" spans="1:18" s="1" customFormat="1" ht="14.1" customHeight="1">
      <c r="B30" s="25">
        <f t="shared" ref="B30:F30" si="31">AVERAGE(B32:B41)</f>
        <v>57.734999999999999</v>
      </c>
      <c r="C30" s="26">
        <f t="shared" si="31"/>
        <v>5</v>
      </c>
      <c r="D30" s="26">
        <f t="shared" si="31"/>
        <v>0.5</v>
      </c>
      <c r="E30" s="26">
        <f t="shared" si="31"/>
        <v>144.33750000000003</v>
      </c>
      <c r="F30" s="27">
        <f t="shared" si="31"/>
        <v>288.67500000000007</v>
      </c>
      <c r="G30" s="195" t="e">
        <f t="shared" ref="G30:N30" si="32">AVERAGE(G32:G41)</f>
        <v>#DIV/0!</v>
      </c>
      <c r="H30" s="26" t="e">
        <f t="shared" si="32"/>
        <v>#DIV/0!</v>
      </c>
      <c r="I30" s="27" t="e">
        <f t="shared" si="32"/>
        <v>#DIV/0!</v>
      </c>
      <c r="J30" s="26" t="e">
        <f t="shared" si="32"/>
        <v>#DIV/0!</v>
      </c>
      <c r="K30" s="26" t="e">
        <f t="shared" si="32"/>
        <v>#DIV/0!</v>
      </c>
      <c r="L30" s="32" t="e">
        <f t="shared" si="32"/>
        <v>#DIV/0!</v>
      </c>
      <c r="M30" s="145">
        <f t="shared" si="32"/>
        <v>-144.33750000000003</v>
      </c>
      <c r="N30" s="146">
        <f t="shared" si="32"/>
        <v>-144.33750000000003</v>
      </c>
      <c r="O30" s="147">
        <f>AVERAGE(O32:O41)</f>
        <v>-144.33750000000003</v>
      </c>
      <c r="P30" s="145">
        <f t="shared" ref="P30" si="33">AVERAGE(P32:P41)</f>
        <v>-144.33750000000003</v>
      </c>
      <c r="Q30" s="146">
        <f>AVERAGE(Q32:Q41)</f>
        <v>-144.33750000000003</v>
      </c>
      <c r="R30" s="147">
        <f t="shared" ref="R30" si="34">AVERAGE(R32:R41)</f>
        <v>-144.33750000000003</v>
      </c>
    </row>
    <row r="31" spans="1:18" s="135" customFormat="1" ht="14.1" customHeight="1" thickBot="1">
      <c r="B31" s="136">
        <f>STDEV(B32:B41)/B30*100</f>
        <v>0</v>
      </c>
      <c r="C31" s="137">
        <f>STDEV(C32:C41)/C30*100</f>
        <v>0</v>
      </c>
      <c r="D31" s="137">
        <f>STDEV(D32:D41)/D30*100</f>
        <v>0</v>
      </c>
      <c r="E31" s="137">
        <f>STDEV(E32:E41)/F30*100</f>
        <v>1.037814575740464E-14</v>
      </c>
      <c r="F31" s="148">
        <f>STDEV(F32:F41)/F30*100</f>
        <v>2.0756291514809279E-14</v>
      </c>
      <c r="G31" s="445" t="e">
        <f>STDEV(G32:G41)/F30*100</f>
        <v>#DIV/0!</v>
      </c>
      <c r="H31" s="141" t="e">
        <f>STDEV(H32:H41)/F30*100</f>
        <v>#DIV/0!</v>
      </c>
      <c r="I31" s="142" t="e">
        <f>STDEV(I32:I41)/F30*100</f>
        <v>#DIV/0!</v>
      </c>
      <c r="J31" s="141" t="e">
        <f>STDEV(J32:J41)/F30*100</f>
        <v>#DIV/0!</v>
      </c>
      <c r="K31" s="141" t="e">
        <f>STDEV(K32:K41)/F30*100</f>
        <v>#DIV/0!</v>
      </c>
      <c r="L31" s="188" t="e">
        <f>STDEV(L32:L41)/F30*100</f>
        <v>#DIV/0!</v>
      </c>
      <c r="M31" s="192">
        <f>100*STDEV(M32:M41)/$F$30</f>
        <v>1.037814575740464E-14</v>
      </c>
      <c r="N31" s="193">
        <f t="shared" ref="N31:O31" si="35">100*STDEV(N32:N41)/$F$30</f>
        <v>1.037814575740464E-14</v>
      </c>
      <c r="O31" s="194">
        <f t="shared" si="35"/>
        <v>1.037814575740464E-14</v>
      </c>
      <c r="P31" s="192">
        <f>100*STDEV(P32:P41)/$F$30</f>
        <v>1.037814575740464E-14</v>
      </c>
      <c r="Q31" s="193">
        <f t="shared" ref="Q31" si="36">100*STDEV(Q32:Q41)/$F$30</f>
        <v>1.037814575740464E-14</v>
      </c>
      <c r="R31" s="194">
        <f t="shared" ref="R31" si="37">100*STDEV(R32:R41)/$F$30</f>
        <v>1.037814575740464E-14</v>
      </c>
    </row>
    <row r="32" spans="1:18" ht="14.1" customHeight="1">
      <c r="A32" s="559" t="s">
        <v>23</v>
      </c>
      <c r="B32" s="9">
        <v>57.734999999999999</v>
      </c>
      <c r="C32" s="10">
        <v>5</v>
      </c>
      <c r="D32" s="34">
        <v>0.5</v>
      </c>
      <c r="E32" s="3">
        <f>B32*C32*D32</f>
        <v>144.33750000000001</v>
      </c>
      <c r="F32" s="95">
        <f>B32*C32</f>
        <v>288.67500000000001</v>
      </c>
      <c r="G32" s="450"/>
      <c r="H32" s="240"/>
      <c r="I32" s="241"/>
      <c r="J32" s="240"/>
      <c r="K32" s="240"/>
      <c r="L32" s="246"/>
      <c r="M32" s="189">
        <f t="shared" ref="M32:M41" si="38">(G32-E32)</f>
        <v>-144.33750000000001</v>
      </c>
      <c r="N32" s="132">
        <f t="shared" ref="N32:N41" si="39">(H32-E32)</f>
        <v>-144.33750000000001</v>
      </c>
      <c r="O32" s="191">
        <f t="shared" ref="O32:O41" si="40">(I32-E32)</f>
        <v>-144.33750000000001</v>
      </c>
      <c r="P32" s="189">
        <f t="shared" ref="P32:P41" si="41">(J32-E32)</f>
        <v>-144.33750000000001</v>
      </c>
      <c r="Q32" s="132">
        <f t="shared" ref="Q32:Q41" si="42">(K32-E32)</f>
        <v>-144.33750000000001</v>
      </c>
      <c r="R32" s="191">
        <f t="shared" ref="R32:R41" si="43">(L32-E32)</f>
        <v>-144.33750000000001</v>
      </c>
    </row>
    <row r="33" spans="1:18" ht="14.1" customHeight="1">
      <c r="A33" s="560"/>
      <c r="B33" s="85">
        <v>57.734999999999999</v>
      </c>
      <c r="C33" s="36">
        <v>5</v>
      </c>
      <c r="D33" s="7">
        <v>0.5</v>
      </c>
      <c r="E33" s="6">
        <f t="shared" ref="E33:E36" si="44">B33*C33*D33</f>
        <v>144.33750000000001</v>
      </c>
      <c r="F33" s="96">
        <f t="shared" ref="F33:F36" si="45">B33*C33</f>
        <v>288.67500000000001</v>
      </c>
      <c r="G33" s="451"/>
      <c r="H33" s="242"/>
      <c r="I33" s="243"/>
      <c r="J33" s="242"/>
      <c r="K33" s="242"/>
      <c r="L33" s="247"/>
      <c r="M33" s="85">
        <f t="shared" si="38"/>
        <v>-144.33750000000001</v>
      </c>
      <c r="N33" s="6">
        <f t="shared" si="39"/>
        <v>-144.33750000000001</v>
      </c>
      <c r="O33" s="96">
        <f t="shared" si="40"/>
        <v>-144.33750000000001</v>
      </c>
      <c r="P33" s="85">
        <f t="shared" si="41"/>
        <v>-144.33750000000001</v>
      </c>
      <c r="Q33" s="6">
        <f t="shared" si="42"/>
        <v>-144.33750000000001</v>
      </c>
      <c r="R33" s="96">
        <f t="shared" si="43"/>
        <v>-144.33750000000001</v>
      </c>
    </row>
    <row r="34" spans="1:18" ht="14.1" customHeight="1">
      <c r="A34" s="560"/>
      <c r="B34" s="85">
        <v>57.734999999999999</v>
      </c>
      <c r="C34" s="36">
        <v>5</v>
      </c>
      <c r="D34" s="7">
        <v>0.5</v>
      </c>
      <c r="E34" s="6">
        <f t="shared" si="44"/>
        <v>144.33750000000001</v>
      </c>
      <c r="F34" s="96">
        <f t="shared" si="45"/>
        <v>288.67500000000001</v>
      </c>
      <c r="G34" s="451"/>
      <c r="H34" s="242"/>
      <c r="I34" s="243"/>
      <c r="J34" s="242"/>
      <c r="K34" s="242"/>
      <c r="L34" s="247"/>
      <c r="M34" s="85">
        <f t="shared" si="38"/>
        <v>-144.33750000000001</v>
      </c>
      <c r="N34" s="6">
        <f t="shared" si="39"/>
        <v>-144.33750000000001</v>
      </c>
      <c r="O34" s="96">
        <f t="shared" si="40"/>
        <v>-144.33750000000001</v>
      </c>
      <c r="P34" s="85">
        <f t="shared" si="41"/>
        <v>-144.33750000000001</v>
      </c>
      <c r="Q34" s="6">
        <f t="shared" si="42"/>
        <v>-144.33750000000001</v>
      </c>
      <c r="R34" s="96">
        <f t="shared" si="43"/>
        <v>-144.33750000000001</v>
      </c>
    </row>
    <row r="35" spans="1:18" ht="14.1" customHeight="1">
      <c r="A35" s="560"/>
      <c r="B35" s="85">
        <v>57.734999999999999</v>
      </c>
      <c r="C35" s="36">
        <v>5</v>
      </c>
      <c r="D35" s="7">
        <v>0.5</v>
      </c>
      <c r="E35" s="6">
        <f t="shared" si="44"/>
        <v>144.33750000000001</v>
      </c>
      <c r="F35" s="96">
        <f t="shared" si="45"/>
        <v>288.67500000000001</v>
      </c>
      <c r="G35" s="451"/>
      <c r="H35" s="242"/>
      <c r="I35" s="243"/>
      <c r="J35" s="242"/>
      <c r="K35" s="242"/>
      <c r="L35" s="247"/>
      <c r="M35" s="85">
        <f t="shared" si="38"/>
        <v>-144.33750000000001</v>
      </c>
      <c r="N35" s="6">
        <f t="shared" si="39"/>
        <v>-144.33750000000001</v>
      </c>
      <c r="O35" s="96">
        <f t="shared" si="40"/>
        <v>-144.33750000000001</v>
      </c>
      <c r="P35" s="85">
        <f t="shared" si="41"/>
        <v>-144.33750000000001</v>
      </c>
      <c r="Q35" s="6">
        <f t="shared" si="42"/>
        <v>-144.33750000000001</v>
      </c>
      <c r="R35" s="96">
        <f t="shared" si="43"/>
        <v>-144.33750000000001</v>
      </c>
    </row>
    <row r="36" spans="1:18" ht="14.1" customHeight="1">
      <c r="A36" s="560"/>
      <c r="B36" s="85">
        <v>57.734999999999999</v>
      </c>
      <c r="C36" s="36">
        <v>5</v>
      </c>
      <c r="D36" s="7">
        <v>0.5</v>
      </c>
      <c r="E36" s="6">
        <f t="shared" si="44"/>
        <v>144.33750000000001</v>
      </c>
      <c r="F36" s="96">
        <f t="shared" si="45"/>
        <v>288.67500000000001</v>
      </c>
      <c r="G36" s="451"/>
      <c r="H36" s="242"/>
      <c r="I36" s="243"/>
      <c r="J36" s="242"/>
      <c r="K36" s="242"/>
      <c r="L36" s="247"/>
      <c r="M36" s="85">
        <f t="shared" si="38"/>
        <v>-144.33750000000001</v>
      </c>
      <c r="N36" s="6">
        <f t="shared" si="39"/>
        <v>-144.33750000000001</v>
      </c>
      <c r="O36" s="96">
        <f t="shared" si="40"/>
        <v>-144.33750000000001</v>
      </c>
      <c r="P36" s="85">
        <f t="shared" si="41"/>
        <v>-144.33750000000001</v>
      </c>
      <c r="Q36" s="6">
        <f t="shared" si="42"/>
        <v>-144.33750000000001</v>
      </c>
      <c r="R36" s="96">
        <f t="shared" si="43"/>
        <v>-144.33750000000001</v>
      </c>
    </row>
    <row r="37" spans="1:18" ht="14.1" customHeight="1">
      <c r="A37" s="560"/>
      <c r="B37" s="85">
        <v>57.734999999999999</v>
      </c>
      <c r="C37" s="36">
        <v>5</v>
      </c>
      <c r="D37" s="7">
        <v>0.5</v>
      </c>
      <c r="E37" s="6">
        <f>B37*C37*D37</f>
        <v>144.33750000000001</v>
      </c>
      <c r="F37" s="96">
        <f>B37*C37</f>
        <v>288.67500000000001</v>
      </c>
      <c r="G37" s="451"/>
      <c r="H37" s="242"/>
      <c r="I37" s="243"/>
      <c r="J37" s="242"/>
      <c r="K37" s="242"/>
      <c r="L37" s="247"/>
      <c r="M37" s="85">
        <f t="shared" si="38"/>
        <v>-144.33750000000001</v>
      </c>
      <c r="N37" s="6">
        <f t="shared" si="39"/>
        <v>-144.33750000000001</v>
      </c>
      <c r="O37" s="96">
        <f t="shared" si="40"/>
        <v>-144.33750000000001</v>
      </c>
      <c r="P37" s="85">
        <f t="shared" si="41"/>
        <v>-144.33750000000001</v>
      </c>
      <c r="Q37" s="6">
        <f t="shared" si="42"/>
        <v>-144.33750000000001</v>
      </c>
      <c r="R37" s="96">
        <f t="shared" si="43"/>
        <v>-144.33750000000001</v>
      </c>
    </row>
    <row r="38" spans="1:18" ht="14.1" customHeight="1">
      <c r="A38" s="560"/>
      <c r="B38" s="85">
        <v>57.734999999999999</v>
      </c>
      <c r="C38" s="36">
        <v>5</v>
      </c>
      <c r="D38" s="7">
        <v>0.5</v>
      </c>
      <c r="E38" s="6">
        <f t="shared" ref="E38:E41" si="46">B38*C38*D38</f>
        <v>144.33750000000001</v>
      </c>
      <c r="F38" s="96">
        <f t="shared" ref="F38:F41" si="47">B38*C38</f>
        <v>288.67500000000001</v>
      </c>
      <c r="G38" s="451"/>
      <c r="H38" s="242"/>
      <c r="I38" s="243"/>
      <c r="J38" s="242"/>
      <c r="K38" s="242"/>
      <c r="L38" s="247"/>
      <c r="M38" s="85">
        <f t="shared" si="38"/>
        <v>-144.33750000000001</v>
      </c>
      <c r="N38" s="6">
        <f t="shared" si="39"/>
        <v>-144.33750000000001</v>
      </c>
      <c r="O38" s="96">
        <f t="shared" si="40"/>
        <v>-144.33750000000001</v>
      </c>
      <c r="P38" s="85">
        <f t="shared" si="41"/>
        <v>-144.33750000000001</v>
      </c>
      <c r="Q38" s="6">
        <f t="shared" si="42"/>
        <v>-144.33750000000001</v>
      </c>
      <c r="R38" s="96">
        <f t="shared" si="43"/>
        <v>-144.33750000000001</v>
      </c>
    </row>
    <row r="39" spans="1:18" ht="14.1" customHeight="1">
      <c r="A39" s="560"/>
      <c r="B39" s="85">
        <v>57.734999999999999</v>
      </c>
      <c r="C39" s="36">
        <v>5</v>
      </c>
      <c r="D39" s="7">
        <v>0.5</v>
      </c>
      <c r="E39" s="6">
        <f t="shared" si="46"/>
        <v>144.33750000000001</v>
      </c>
      <c r="F39" s="96">
        <f t="shared" si="47"/>
        <v>288.67500000000001</v>
      </c>
      <c r="G39" s="451"/>
      <c r="H39" s="242"/>
      <c r="I39" s="243"/>
      <c r="J39" s="242"/>
      <c r="K39" s="242"/>
      <c r="L39" s="247"/>
      <c r="M39" s="85">
        <f t="shared" si="38"/>
        <v>-144.33750000000001</v>
      </c>
      <c r="N39" s="6">
        <f t="shared" si="39"/>
        <v>-144.33750000000001</v>
      </c>
      <c r="O39" s="96">
        <f t="shared" si="40"/>
        <v>-144.33750000000001</v>
      </c>
      <c r="P39" s="85">
        <f t="shared" si="41"/>
        <v>-144.33750000000001</v>
      </c>
      <c r="Q39" s="6">
        <f t="shared" si="42"/>
        <v>-144.33750000000001</v>
      </c>
      <c r="R39" s="96">
        <f t="shared" si="43"/>
        <v>-144.33750000000001</v>
      </c>
    </row>
    <row r="40" spans="1:18" ht="14.1" customHeight="1">
      <c r="A40" s="560"/>
      <c r="B40" s="85">
        <v>57.734999999999999</v>
      </c>
      <c r="C40" s="36">
        <v>5</v>
      </c>
      <c r="D40" s="7">
        <v>0.5</v>
      </c>
      <c r="E40" s="6">
        <f t="shared" si="46"/>
        <v>144.33750000000001</v>
      </c>
      <c r="F40" s="96">
        <f t="shared" si="47"/>
        <v>288.67500000000001</v>
      </c>
      <c r="G40" s="451"/>
      <c r="H40" s="242"/>
      <c r="I40" s="243"/>
      <c r="J40" s="242"/>
      <c r="K40" s="242"/>
      <c r="L40" s="247"/>
      <c r="M40" s="85">
        <f t="shared" si="38"/>
        <v>-144.33750000000001</v>
      </c>
      <c r="N40" s="6">
        <f t="shared" si="39"/>
        <v>-144.33750000000001</v>
      </c>
      <c r="O40" s="96">
        <f t="shared" si="40"/>
        <v>-144.33750000000001</v>
      </c>
      <c r="P40" s="85">
        <f t="shared" si="41"/>
        <v>-144.33750000000001</v>
      </c>
      <c r="Q40" s="6">
        <f t="shared" si="42"/>
        <v>-144.33750000000001</v>
      </c>
      <c r="R40" s="96">
        <f t="shared" si="43"/>
        <v>-144.33750000000001</v>
      </c>
    </row>
    <row r="41" spans="1:18" ht="14.1" customHeight="1" thickBot="1">
      <c r="A41" s="561"/>
      <c r="B41" s="86">
        <v>57.734999999999999</v>
      </c>
      <c r="C41" s="87">
        <v>5</v>
      </c>
      <c r="D41" s="21">
        <v>0.5</v>
      </c>
      <c r="E41" s="17">
        <f t="shared" si="46"/>
        <v>144.33750000000001</v>
      </c>
      <c r="F41" s="97">
        <f t="shared" si="47"/>
        <v>288.67500000000001</v>
      </c>
      <c r="G41" s="452"/>
      <c r="H41" s="244"/>
      <c r="I41" s="245"/>
      <c r="J41" s="244"/>
      <c r="K41" s="244"/>
      <c r="L41" s="248"/>
      <c r="M41" s="86">
        <f t="shared" si="38"/>
        <v>-144.33750000000001</v>
      </c>
      <c r="N41" s="17">
        <f t="shared" si="39"/>
        <v>-144.33750000000001</v>
      </c>
      <c r="O41" s="97">
        <f t="shared" si="40"/>
        <v>-144.33750000000001</v>
      </c>
      <c r="P41" s="86">
        <f t="shared" si="41"/>
        <v>-144.33750000000001</v>
      </c>
      <c r="Q41" s="17">
        <f t="shared" si="42"/>
        <v>-144.33750000000001</v>
      </c>
      <c r="R41" s="97">
        <f t="shared" si="43"/>
        <v>-144.33750000000001</v>
      </c>
    </row>
    <row r="42" spans="1:18" ht="14.1" customHeight="1">
      <c r="B42" s="28" t="s">
        <v>14</v>
      </c>
      <c r="C42" s="29" t="s">
        <v>143</v>
      </c>
      <c r="D42" s="30" t="s">
        <v>0</v>
      </c>
      <c r="E42" s="31" t="s">
        <v>157</v>
      </c>
      <c r="F42" s="94" t="s">
        <v>148</v>
      </c>
      <c r="G42" s="423" t="s">
        <v>154</v>
      </c>
      <c r="H42" s="23" t="s">
        <v>155</v>
      </c>
      <c r="I42" s="24" t="s">
        <v>156</v>
      </c>
      <c r="J42" s="23" t="s">
        <v>154</v>
      </c>
      <c r="K42" s="23" t="s">
        <v>155</v>
      </c>
      <c r="L42" s="187" t="s">
        <v>156</v>
      </c>
      <c r="M42" s="99" t="s">
        <v>154</v>
      </c>
      <c r="N42" s="100" t="s">
        <v>155</v>
      </c>
      <c r="O42" s="101" t="s">
        <v>156</v>
      </c>
      <c r="P42" s="99" t="s">
        <v>154</v>
      </c>
      <c r="Q42" s="100" t="s">
        <v>155</v>
      </c>
      <c r="R42" s="101" t="s">
        <v>156</v>
      </c>
    </row>
    <row r="43" spans="1:18" s="1" customFormat="1" ht="14.1" customHeight="1">
      <c r="B43" s="25">
        <f t="shared" ref="B43:F43" si="48">AVERAGE(B45:B54)</f>
        <v>57.734999999999999</v>
      </c>
      <c r="C43" s="26">
        <f t="shared" si="48"/>
        <v>2.5</v>
      </c>
      <c r="D43" s="26">
        <f t="shared" si="48"/>
        <v>1</v>
      </c>
      <c r="E43" s="26">
        <f t="shared" si="48"/>
        <v>144.33750000000003</v>
      </c>
      <c r="F43" s="27">
        <f t="shared" si="48"/>
        <v>144.33750000000003</v>
      </c>
      <c r="G43" s="195" t="e">
        <f t="shared" ref="G43:N43" si="49">AVERAGE(G45:G54)</f>
        <v>#DIV/0!</v>
      </c>
      <c r="H43" s="26" t="e">
        <f t="shared" si="49"/>
        <v>#DIV/0!</v>
      </c>
      <c r="I43" s="27" t="e">
        <f t="shared" si="49"/>
        <v>#DIV/0!</v>
      </c>
      <c r="J43" s="26" t="e">
        <f t="shared" si="49"/>
        <v>#DIV/0!</v>
      </c>
      <c r="K43" s="26" t="e">
        <f t="shared" si="49"/>
        <v>#DIV/0!</v>
      </c>
      <c r="L43" s="32" t="e">
        <f t="shared" si="49"/>
        <v>#DIV/0!</v>
      </c>
      <c r="M43" s="145">
        <f t="shared" si="49"/>
        <v>-144.33750000000003</v>
      </c>
      <c r="N43" s="146">
        <f t="shared" si="49"/>
        <v>-144.33750000000003</v>
      </c>
      <c r="O43" s="147">
        <f>AVERAGE(O45:O54)</f>
        <v>-144.33750000000003</v>
      </c>
      <c r="P43" s="145">
        <f t="shared" ref="P43" si="50">AVERAGE(P45:P54)</f>
        <v>-144.33750000000003</v>
      </c>
      <c r="Q43" s="146">
        <f>AVERAGE(Q45:Q54)</f>
        <v>-144.33750000000003</v>
      </c>
      <c r="R43" s="147">
        <f t="shared" ref="R43" si="51">AVERAGE(R45:R54)</f>
        <v>-144.33750000000003</v>
      </c>
    </row>
    <row r="44" spans="1:18" s="135" customFormat="1" ht="14.1" customHeight="1" thickBot="1">
      <c r="B44" s="136">
        <f>STDEV(B45:B54)/B43*100</f>
        <v>0</v>
      </c>
      <c r="C44" s="137">
        <f>STDEV(C45:C54)/C43*100</f>
        <v>0</v>
      </c>
      <c r="D44" s="137">
        <f>STDEV(D45:D54)/D43*100</f>
        <v>0</v>
      </c>
      <c r="E44" s="137">
        <f>STDEV(E45:E54)/F43*100</f>
        <v>2.0756291514809279E-14</v>
      </c>
      <c r="F44" s="148">
        <f>STDEV(F45:F54)/F43*100</f>
        <v>2.0756291514809279E-14</v>
      </c>
      <c r="G44" s="445" t="e">
        <f>STDEV(G45:G54)/F43*100</f>
        <v>#DIV/0!</v>
      </c>
      <c r="H44" s="141" t="e">
        <f>STDEV(H45:H54)/F43*100</f>
        <v>#DIV/0!</v>
      </c>
      <c r="I44" s="142" t="e">
        <f>STDEV(I45:I54)/F43*100</f>
        <v>#DIV/0!</v>
      </c>
      <c r="J44" s="141" t="e">
        <f>STDEV(J45:J54)/F43*100</f>
        <v>#DIV/0!</v>
      </c>
      <c r="K44" s="141" t="e">
        <f>STDEV(K45:K54)/F43*100</f>
        <v>#DIV/0!</v>
      </c>
      <c r="L44" s="188" t="e">
        <f>STDEV(L45:L54)/F43*100</f>
        <v>#DIV/0!</v>
      </c>
      <c r="M44" s="192">
        <f>100*STDEV(M45:M54)/$F$43</f>
        <v>2.0756291514809279E-14</v>
      </c>
      <c r="N44" s="193">
        <f t="shared" ref="N44:O44" si="52">100*STDEV(N45:N54)/$F$43</f>
        <v>2.0756291514809279E-14</v>
      </c>
      <c r="O44" s="194">
        <f t="shared" si="52"/>
        <v>2.0756291514809279E-14</v>
      </c>
      <c r="P44" s="192">
        <f>100*STDEV(P45:P54)/$F$43</f>
        <v>2.0756291514809279E-14</v>
      </c>
      <c r="Q44" s="193">
        <f t="shared" ref="Q44" si="53">100*STDEV(Q45:Q54)/$F$43</f>
        <v>2.0756291514809279E-14</v>
      </c>
      <c r="R44" s="194">
        <f t="shared" ref="R44" si="54">100*STDEV(R45:R54)/$F$43</f>
        <v>2.0756291514809279E-14</v>
      </c>
    </row>
    <row r="45" spans="1:18" ht="14.1" customHeight="1">
      <c r="A45" s="559" t="s">
        <v>28</v>
      </c>
      <c r="B45" s="9">
        <v>57.734999999999999</v>
      </c>
      <c r="C45" s="34">
        <v>2.5</v>
      </c>
      <c r="D45" s="10">
        <v>1</v>
      </c>
      <c r="E45" s="3">
        <f>B45*C45*D45</f>
        <v>144.33750000000001</v>
      </c>
      <c r="F45" s="95">
        <f>B45*C45</f>
        <v>144.33750000000001</v>
      </c>
      <c r="G45" s="450"/>
      <c r="H45" s="240"/>
      <c r="I45" s="241"/>
      <c r="J45" s="240"/>
      <c r="K45" s="240"/>
      <c r="L45" s="246"/>
      <c r="M45" s="189">
        <f t="shared" ref="M45:M54" si="55">(G45-E45)</f>
        <v>-144.33750000000001</v>
      </c>
      <c r="N45" s="132">
        <f t="shared" ref="N45:N54" si="56">(H45-E45)</f>
        <v>-144.33750000000001</v>
      </c>
      <c r="O45" s="191">
        <f t="shared" ref="O45:O54" si="57">(I45-E45)</f>
        <v>-144.33750000000001</v>
      </c>
      <c r="P45" s="189">
        <f t="shared" ref="P45:P54" si="58">(J45-E45)</f>
        <v>-144.33750000000001</v>
      </c>
      <c r="Q45" s="132">
        <f t="shared" ref="Q45:Q54" si="59">(K45-E45)</f>
        <v>-144.33750000000001</v>
      </c>
      <c r="R45" s="191">
        <f t="shared" ref="R45:R54" si="60">(L45-E45)</f>
        <v>-144.33750000000001</v>
      </c>
    </row>
    <row r="46" spans="1:18" ht="14.1" customHeight="1">
      <c r="A46" s="560"/>
      <c r="B46" s="85">
        <v>57.734999999999999</v>
      </c>
      <c r="C46" s="7">
        <v>2.5</v>
      </c>
      <c r="D46" s="36">
        <v>1</v>
      </c>
      <c r="E46" s="6">
        <f t="shared" ref="E46:E54" si="61">B46*C46*D46</f>
        <v>144.33750000000001</v>
      </c>
      <c r="F46" s="96">
        <f t="shared" ref="F46:F54" si="62">B46*C46</f>
        <v>144.33750000000001</v>
      </c>
      <c r="G46" s="451"/>
      <c r="H46" s="242"/>
      <c r="I46" s="243"/>
      <c r="J46" s="242"/>
      <c r="K46" s="242"/>
      <c r="L46" s="247"/>
      <c r="M46" s="85">
        <f t="shared" si="55"/>
        <v>-144.33750000000001</v>
      </c>
      <c r="N46" s="6">
        <f t="shared" si="56"/>
        <v>-144.33750000000001</v>
      </c>
      <c r="O46" s="96">
        <f t="shared" si="57"/>
        <v>-144.33750000000001</v>
      </c>
      <c r="P46" s="85">
        <f t="shared" si="58"/>
        <v>-144.33750000000001</v>
      </c>
      <c r="Q46" s="6">
        <f t="shared" si="59"/>
        <v>-144.33750000000001</v>
      </c>
      <c r="R46" s="96">
        <f t="shared" si="60"/>
        <v>-144.33750000000001</v>
      </c>
    </row>
    <row r="47" spans="1:18" ht="14.1" customHeight="1">
      <c r="A47" s="560"/>
      <c r="B47" s="85">
        <v>57.734999999999999</v>
      </c>
      <c r="C47" s="7">
        <v>2.5</v>
      </c>
      <c r="D47" s="36">
        <v>1</v>
      </c>
      <c r="E47" s="6">
        <f t="shared" si="61"/>
        <v>144.33750000000001</v>
      </c>
      <c r="F47" s="96">
        <f t="shared" si="62"/>
        <v>144.33750000000001</v>
      </c>
      <c r="G47" s="451"/>
      <c r="H47" s="242"/>
      <c r="I47" s="243"/>
      <c r="J47" s="242"/>
      <c r="K47" s="242"/>
      <c r="L47" s="247"/>
      <c r="M47" s="85">
        <f t="shared" si="55"/>
        <v>-144.33750000000001</v>
      </c>
      <c r="N47" s="6">
        <f t="shared" si="56"/>
        <v>-144.33750000000001</v>
      </c>
      <c r="O47" s="96">
        <f t="shared" si="57"/>
        <v>-144.33750000000001</v>
      </c>
      <c r="P47" s="85">
        <f t="shared" si="58"/>
        <v>-144.33750000000001</v>
      </c>
      <c r="Q47" s="6">
        <f t="shared" si="59"/>
        <v>-144.33750000000001</v>
      </c>
      <c r="R47" s="96">
        <f t="shared" si="60"/>
        <v>-144.33750000000001</v>
      </c>
    </row>
    <row r="48" spans="1:18" ht="14.1" customHeight="1">
      <c r="A48" s="560"/>
      <c r="B48" s="85">
        <v>57.734999999999999</v>
      </c>
      <c r="C48" s="7">
        <v>2.5</v>
      </c>
      <c r="D48" s="36">
        <v>1</v>
      </c>
      <c r="E48" s="6">
        <f t="shared" si="61"/>
        <v>144.33750000000001</v>
      </c>
      <c r="F48" s="96">
        <f t="shared" si="62"/>
        <v>144.33750000000001</v>
      </c>
      <c r="G48" s="451"/>
      <c r="H48" s="242"/>
      <c r="I48" s="243"/>
      <c r="J48" s="242"/>
      <c r="K48" s="242"/>
      <c r="L48" s="247"/>
      <c r="M48" s="85">
        <f t="shared" si="55"/>
        <v>-144.33750000000001</v>
      </c>
      <c r="N48" s="6">
        <f t="shared" si="56"/>
        <v>-144.33750000000001</v>
      </c>
      <c r="O48" s="96">
        <f t="shared" si="57"/>
        <v>-144.33750000000001</v>
      </c>
      <c r="P48" s="85">
        <f t="shared" si="58"/>
        <v>-144.33750000000001</v>
      </c>
      <c r="Q48" s="6">
        <f t="shared" si="59"/>
        <v>-144.33750000000001</v>
      </c>
      <c r="R48" s="96">
        <f t="shared" si="60"/>
        <v>-144.33750000000001</v>
      </c>
    </row>
    <row r="49" spans="1:18" ht="14.1" customHeight="1">
      <c r="A49" s="560"/>
      <c r="B49" s="85">
        <v>57.734999999999999</v>
      </c>
      <c r="C49" s="7">
        <v>2.5</v>
      </c>
      <c r="D49" s="36">
        <v>1</v>
      </c>
      <c r="E49" s="6">
        <f t="shared" si="61"/>
        <v>144.33750000000001</v>
      </c>
      <c r="F49" s="96">
        <f t="shared" si="62"/>
        <v>144.33750000000001</v>
      </c>
      <c r="G49" s="451"/>
      <c r="H49" s="242"/>
      <c r="I49" s="243"/>
      <c r="J49" s="242"/>
      <c r="K49" s="242"/>
      <c r="L49" s="247"/>
      <c r="M49" s="85">
        <f t="shared" si="55"/>
        <v>-144.33750000000001</v>
      </c>
      <c r="N49" s="6">
        <f t="shared" si="56"/>
        <v>-144.33750000000001</v>
      </c>
      <c r="O49" s="96">
        <f t="shared" si="57"/>
        <v>-144.33750000000001</v>
      </c>
      <c r="P49" s="85">
        <f t="shared" si="58"/>
        <v>-144.33750000000001</v>
      </c>
      <c r="Q49" s="6">
        <f t="shared" si="59"/>
        <v>-144.33750000000001</v>
      </c>
      <c r="R49" s="96">
        <f t="shared" si="60"/>
        <v>-144.33750000000001</v>
      </c>
    </row>
    <row r="50" spans="1:18" ht="14.1" customHeight="1">
      <c r="A50" s="560"/>
      <c r="B50" s="85">
        <v>57.734999999999999</v>
      </c>
      <c r="C50" s="7">
        <v>2.5</v>
      </c>
      <c r="D50" s="36">
        <v>1</v>
      </c>
      <c r="E50" s="6">
        <f t="shared" si="61"/>
        <v>144.33750000000001</v>
      </c>
      <c r="F50" s="96">
        <f t="shared" si="62"/>
        <v>144.33750000000001</v>
      </c>
      <c r="G50" s="451"/>
      <c r="H50" s="242"/>
      <c r="I50" s="243"/>
      <c r="J50" s="242"/>
      <c r="K50" s="242"/>
      <c r="L50" s="247"/>
      <c r="M50" s="85">
        <f t="shared" si="55"/>
        <v>-144.33750000000001</v>
      </c>
      <c r="N50" s="6">
        <f t="shared" si="56"/>
        <v>-144.33750000000001</v>
      </c>
      <c r="O50" s="96">
        <f t="shared" si="57"/>
        <v>-144.33750000000001</v>
      </c>
      <c r="P50" s="85">
        <f t="shared" si="58"/>
        <v>-144.33750000000001</v>
      </c>
      <c r="Q50" s="6">
        <f t="shared" si="59"/>
        <v>-144.33750000000001</v>
      </c>
      <c r="R50" s="96">
        <f t="shared" si="60"/>
        <v>-144.33750000000001</v>
      </c>
    </row>
    <row r="51" spans="1:18" ht="14.1" customHeight="1">
      <c r="A51" s="560"/>
      <c r="B51" s="85">
        <v>57.734999999999999</v>
      </c>
      <c r="C51" s="7">
        <v>2.5</v>
      </c>
      <c r="D51" s="36">
        <v>1</v>
      </c>
      <c r="E51" s="6">
        <f t="shared" si="61"/>
        <v>144.33750000000001</v>
      </c>
      <c r="F51" s="96">
        <f t="shared" si="62"/>
        <v>144.33750000000001</v>
      </c>
      <c r="G51" s="451"/>
      <c r="H51" s="242"/>
      <c r="I51" s="243"/>
      <c r="J51" s="242"/>
      <c r="K51" s="242"/>
      <c r="L51" s="247"/>
      <c r="M51" s="85">
        <f t="shared" si="55"/>
        <v>-144.33750000000001</v>
      </c>
      <c r="N51" s="6">
        <f t="shared" si="56"/>
        <v>-144.33750000000001</v>
      </c>
      <c r="O51" s="96">
        <f t="shared" si="57"/>
        <v>-144.33750000000001</v>
      </c>
      <c r="P51" s="85">
        <f t="shared" si="58"/>
        <v>-144.33750000000001</v>
      </c>
      <c r="Q51" s="6">
        <f t="shared" si="59"/>
        <v>-144.33750000000001</v>
      </c>
      <c r="R51" s="96">
        <f t="shared" si="60"/>
        <v>-144.33750000000001</v>
      </c>
    </row>
    <row r="52" spans="1:18" ht="14.1" customHeight="1">
      <c r="A52" s="560"/>
      <c r="B52" s="85">
        <v>57.734999999999999</v>
      </c>
      <c r="C52" s="7">
        <v>2.5</v>
      </c>
      <c r="D52" s="36">
        <v>1</v>
      </c>
      <c r="E52" s="6">
        <f t="shared" si="61"/>
        <v>144.33750000000001</v>
      </c>
      <c r="F52" s="96">
        <f t="shared" si="62"/>
        <v>144.33750000000001</v>
      </c>
      <c r="G52" s="451"/>
      <c r="H52" s="242"/>
      <c r="I52" s="243"/>
      <c r="J52" s="242"/>
      <c r="K52" s="242"/>
      <c r="L52" s="247"/>
      <c r="M52" s="85">
        <f t="shared" si="55"/>
        <v>-144.33750000000001</v>
      </c>
      <c r="N52" s="6">
        <f t="shared" si="56"/>
        <v>-144.33750000000001</v>
      </c>
      <c r="O52" s="96">
        <f t="shared" si="57"/>
        <v>-144.33750000000001</v>
      </c>
      <c r="P52" s="85">
        <f t="shared" si="58"/>
        <v>-144.33750000000001</v>
      </c>
      <c r="Q52" s="6">
        <f t="shared" si="59"/>
        <v>-144.33750000000001</v>
      </c>
      <c r="R52" s="96">
        <f t="shared" si="60"/>
        <v>-144.33750000000001</v>
      </c>
    </row>
    <row r="53" spans="1:18" ht="14.1" customHeight="1">
      <c r="A53" s="560"/>
      <c r="B53" s="85">
        <v>57.734999999999999</v>
      </c>
      <c r="C53" s="7">
        <v>2.5</v>
      </c>
      <c r="D53" s="36">
        <v>1</v>
      </c>
      <c r="E53" s="6">
        <f t="shared" si="61"/>
        <v>144.33750000000001</v>
      </c>
      <c r="F53" s="96">
        <f t="shared" si="62"/>
        <v>144.33750000000001</v>
      </c>
      <c r="G53" s="451"/>
      <c r="H53" s="242"/>
      <c r="I53" s="243"/>
      <c r="J53" s="242"/>
      <c r="K53" s="242"/>
      <c r="L53" s="247"/>
      <c r="M53" s="85">
        <f t="shared" si="55"/>
        <v>-144.33750000000001</v>
      </c>
      <c r="N53" s="6">
        <f t="shared" si="56"/>
        <v>-144.33750000000001</v>
      </c>
      <c r="O53" s="96">
        <f t="shared" si="57"/>
        <v>-144.33750000000001</v>
      </c>
      <c r="P53" s="85">
        <f t="shared" si="58"/>
        <v>-144.33750000000001</v>
      </c>
      <c r="Q53" s="6">
        <f t="shared" si="59"/>
        <v>-144.33750000000001</v>
      </c>
      <c r="R53" s="96">
        <f t="shared" si="60"/>
        <v>-144.33750000000001</v>
      </c>
    </row>
    <row r="54" spans="1:18" ht="14.1" customHeight="1" thickBot="1">
      <c r="A54" s="561"/>
      <c r="B54" s="86">
        <v>57.734999999999999</v>
      </c>
      <c r="C54" s="21">
        <v>2.5</v>
      </c>
      <c r="D54" s="87">
        <v>1</v>
      </c>
      <c r="E54" s="17">
        <f t="shared" si="61"/>
        <v>144.33750000000001</v>
      </c>
      <c r="F54" s="97">
        <f t="shared" si="62"/>
        <v>144.33750000000001</v>
      </c>
      <c r="G54" s="452"/>
      <c r="H54" s="244"/>
      <c r="I54" s="245"/>
      <c r="J54" s="244"/>
      <c r="K54" s="244"/>
      <c r="L54" s="248"/>
      <c r="M54" s="86">
        <f t="shared" si="55"/>
        <v>-144.33750000000001</v>
      </c>
      <c r="N54" s="17">
        <f t="shared" si="56"/>
        <v>-144.33750000000001</v>
      </c>
      <c r="O54" s="97">
        <f t="shared" si="57"/>
        <v>-144.33750000000001</v>
      </c>
      <c r="P54" s="86">
        <f t="shared" si="58"/>
        <v>-144.33750000000001</v>
      </c>
      <c r="Q54" s="17">
        <f t="shared" si="59"/>
        <v>-144.33750000000001</v>
      </c>
      <c r="R54" s="97">
        <f t="shared" si="60"/>
        <v>-144.33750000000001</v>
      </c>
    </row>
    <row r="55" spans="1:18" ht="14.1" customHeight="1">
      <c r="B55" s="28" t="s">
        <v>14</v>
      </c>
      <c r="C55" s="29" t="s">
        <v>143</v>
      </c>
      <c r="D55" s="30" t="s">
        <v>0</v>
      </c>
      <c r="E55" s="31" t="s">
        <v>157</v>
      </c>
      <c r="F55" s="94" t="s">
        <v>148</v>
      </c>
      <c r="G55" s="423" t="s">
        <v>154</v>
      </c>
      <c r="H55" s="23" t="s">
        <v>155</v>
      </c>
      <c r="I55" s="24" t="s">
        <v>156</v>
      </c>
      <c r="J55" s="23" t="s">
        <v>154</v>
      </c>
      <c r="K55" s="23" t="s">
        <v>155</v>
      </c>
      <c r="L55" s="187" t="s">
        <v>156</v>
      </c>
      <c r="M55" s="99" t="s">
        <v>154</v>
      </c>
      <c r="N55" s="100" t="s">
        <v>155</v>
      </c>
      <c r="O55" s="101" t="s">
        <v>156</v>
      </c>
      <c r="P55" s="99" t="s">
        <v>154</v>
      </c>
      <c r="Q55" s="100" t="s">
        <v>155</v>
      </c>
      <c r="R55" s="101" t="s">
        <v>156</v>
      </c>
    </row>
    <row r="56" spans="1:18" s="1" customFormat="1" ht="14.1" customHeight="1">
      <c r="B56" s="25">
        <f t="shared" ref="B56:F56" si="63">AVERAGE(B58:B67)</f>
        <v>57.734999999999999</v>
      </c>
      <c r="C56" s="26">
        <f t="shared" si="63"/>
        <v>1</v>
      </c>
      <c r="D56" s="26">
        <f t="shared" si="63"/>
        <v>1</v>
      </c>
      <c r="E56" s="26">
        <f t="shared" si="63"/>
        <v>57.734999999999999</v>
      </c>
      <c r="F56" s="27">
        <f t="shared" si="63"/>
        <v>57.734999999999999</v>
      </c>
      <c r="G56" s="195" t="e">
        <f t="shared" ref="G56:N56" si="64">AVERAGE(G58:G67)</f>
        <v>#DIV/0!</v>
      </c>
      <c r="H56" s="26" t="e">
        <f t="shared" si="64"/>
        <v>#DIV/0!</v>
      </c>
      <c r="I56" s="27" t="e">
        <f t="shared" si="64"/>
        <v>#DIV/0!</v>
      </c>
      <c r="J56" s="26" t="e">
        <f t="shared" si="64"/>
        <v>#DIV/0!</v>
      </c>
      <c r="K56" s="26" t="e">
        <f t="shared" si="64"/>
        <v>#DIV/0!</v>
      </c>
      <c r="L56" s="32" t="e">
        <f t="shared" si="64"/>
        <v>#DIV/0!</v>
      </c>
      <c r="M56" s="145">
        <f t="shared" si="64"/>
        <v>-57.734999999999999</v>
      </c>
      <c r="N56" s="146">
        <f t="shared" si="64"/>
        <v>-57.734999999999999</v>
      </c>
      <c r="O56" s="147">
        <f>AVERAGE(O58:O67)</f>
        <v>-57.734999999999999</v>
      </c>
      <c r="P56" s="145">
        <f t="shared" ref="P56" si="65">AVERAGE(P58:P67)</f>
        <v>-57.734999999999999</v>
      </c>
      <c r="Q56" s="146">
        <f>AVERAGE(Q58:Q67)</f>
        <v>-57.734999999999999</v>
      </c>
      <c r="R56" s="147">
        <f t="shared" ref="R56" si="66">AVERAGE(R58:R67)</f>
        <v>-57.734999999999999</v>
      </c>
    </row>
    <row r="57" spans="1:18" s="135" customFormat="1" ht="14.1" customHeight="1" thickBot="1">
      <c r="B57" s="136">
        <f>STDEV(B58:B67)/B56*100</f>
        <v>0</v>
      </c>
      <c r="C57" s="137">
        <f>STDEV(C58:C67)/C56*100</f>
        <v>0</v>
      </c>
      <c r="D57" s="137">
        <f>STDEV(D58:D67)/D56*100</f>
        <v>0</v>
      </c>
      <c r="E57" s="137">
        <f>STDEV(E58:E67)/F56*100</f>
        <v>0</v>
      </c>
      <c r="F57" s="148">
        <f>STDEV(F58:F67)/F56*100</f>
        <v>0</v>
      </c>
      <c r="G57" s="445" t="e">
        <f>STDEV(G58:G67)/F56*100</f>
        <v>#DIV/0!</v>
      </c>
      <c r="H57" s="141" t="e">
        <f>STDEV(H58:H67)/F56*100</f>
        <v>#DIV/0!</v>
      </c>
      <c r="I57" s="142" t="e">
        <f>STDEV(I58:I67)/F56*100</f>
        <v>#DIV/0!</v>
      </c>
      <c r="J57" s="141" t="e">
        <f>STDEV(J58:J67)/F56*100</f>
        <v>#DIV/0!</v>
      </c>
      <c r="K57" s="141" t="e">
        <f>STDEV(K58:K67)/F56*100</f>
        <v>#DIV/0!</v>
      </c>
      <c r="L57" s="188" t="e">
        <f>STDEV(L58:L67)/F56*100</f>
        <v>#DIV/0!</v>
      </c>
      <c r="M57" s="192">
        <f>100*STDEV(M58:M67)/$F$56</f>
        <v>0</v>
      </c>
      <c r="N57" s="193">
        <f t="shared" ref="N57:O57" si="67">100*STDEV(N58:N67)/$F$56</f>
        <v>0</v>
      </c>
      <c r="O57" s="194">
        <f t="shared" si="67"/>
        <v>0</v>
      </c>
      <c r="P57" s="192">
        <f>100*STDEV(P58:P67)/$F$56</f>
        <v>0</v>
      </c>
      <c r="Q57" s="193">
        <f t="shared" ref="Q57" si="68">100*STDEV(Q58:Q67)/$F$56</f>
        <v>0</v>
      </c>
      <c r="R57" s="194">
        <f t="shared" ref="R57" si="69">100*STDEV(R58:R67)/$F$56</f>
        <v>0</v>
      </c>
    </row>
    <row r="58" spans="1:18" ht="14.1" customHeight="1">
      <c r="A58" s="559" t="s">
        <v>29</v>
      </c>
      <c r="B58" s="9">
        <v>57.734999999999999</v>
      </c>
      <c r="C58" s="10">
        <v>1</v>
      </c>
      <c r="D58" s="10">
        <v>1</v>
      </c>
      <c r="E58" s="3">
        <f>B58*C58*D58</f>
        <v>57.734999999999999</v>
      </c>
      <c r="F58" s="95">
        <f>B58*C58</f>
        <v>57.734999999999999</v>
      </c>
      <c r="G58" s="450"/>
      <c r="H58" s="240"/>
      <c r="I58" s="241"/>
      <c r="J58" s="240"/>
      <c r="K58" s="240"/>
      <c r="L58" s="246"/>
      <c r="M58" s="189">
        <f t="shared" ref="M58:M67" si="70">(G58-E58)</f>
        <v>-57.734999999999999</v>
      </c>
      <c r="N58" s="132">
        <f t="shared" ref="N58:N67" si="71">(H58-E58)</f>
        <v>-57.734999999999999</v>
      </c>
      <c r="O58" s="191">
        <f t="shared" ref="O58:O67" si="72">(I58-E58)</f>
        <v>-57.734999999999999</v>
      </c>
      <c r="P58" s="189">
        <f t="shared" ref="P58:P67" si="73">(J58-E58)</f>
        <v>-57.734999999999999</v>
      </c>
      <c r="Q58" s="132">
        <f t="shared" ref="Q58:Q67" si="74">(K58-E58)</f>
        <v>-57.734999999999999</v>
      </c>
      <c r="R58" s="191">
        <f t="shared" ref="R58:R67" si="75">(L58-E58)</f>
        <v>-57.734999999999999</v>
      </c>
    </row>
    <row r="59" spans="1:18" ht="14.1" customHeight="1">
      <c r="A59" s="560"/>
      <c r="B59" s="85">
        <v>57.734999999999999</v>
      </c>
      <c r="C59" s="36">
        <v>1</v>
      </c>
      <c r="D59" s="36">
        <v>1</v>
      </c>
      <c r="E59" s="6">
        <f t="shared" ref="E59:E67" si="76">B59*C59*D59</f>
        <v>57.734999999999999</v>
      </c>
      <c r="F59" s="96">
        <f t="shared" ref="F59:F67" si="77">B59*C59</f>
        <v>57.734999999999999</v>
      </c>
      <c r="G59" s="451"/>
      <c r="H59" s="242"/>
      <c r="I59" s="243"/>
      <c r="J59" s="242"/>
      <c r="K59" s="242"/>
      <c r="L59" s="247"/>
      <c r="M59" s="85">
        <f t="shared" si="70"/>
        <v>-57.734999999999999</v>
      </c>
      <c r="N59" s="6">
        <f t="shared" si="71"/>
        <v>-57.734999999999999</v>
      </c>
      <c r="O59" s="96">
        <f t="shared" si="72"/>
        <v>-57.734999999999999</v>
      </c>
      <c r="P59" s="85">
        <f t="shared" si="73"/>
        <v>-57.734999999999999</v>
      </c>
      <c r="Q59" s="6">
        <f t="shared" si="74"/>
        <v>-57.734999999999999</v>
      </c>
      <c r="R59" s="96">
        <f t="shared" si="75"/>
        <v>-57.734999999999999</v>
      </c>
    </row>
    <row r="60" spans="1:18" ht="14.1" customHeight="1">
      <c r="A60" s="560"/>
      <c r="B60" s="85">
        <v>57.734999999999999</v>
      </c>
      <c r="C60" s="36">
        <v>1</v>
      </c>
      <c r="D60" s="36">
        <v>1</v>
      </c>
      <c r="E60" s="6">
        <f t="shared" si="76"/>
        <v>57.734999999999999</v>
      </c>
      <c r="F60" s="96">
        <f t="shared" si="77"/>
        <v>57.734999999999999</v>
      </c>
      <c r="G60" s="451"/>
      <c r="H60" s="242"/>
      <c r="I60" s="243"/>
      <c r="J60" s="242"/>
      <c r="K60" s="242"/>
      <c r="L60" s="247"/>
      <c r="M60" s="85">
        <f t="shared" si="70"/>
        <v>-57.734999999999999</v>
      </c>
      <c r="N60" s="6">
        <f t="shared" si="71"/>
        <v>-57.734999999999999</v>
      </c>
      <c r="O60" s="96">
        <f t="shared" si="72"/>
        <v>-57.734999999999999</v>
      </c>
      <c r="P60" s="85">
        <f t="shared" si="73"/>
        <v>-57.734999999999999</v>
      </c>
      <c r="Q60" s="6">
        <f t="shared" si="74"/>
        <v>-57.734999999999999</v>
      </c>
      <c r="R60" s="96">
        <f t="shared" si="75"/>
        <v>-57.734999999999999</v>
      </c>
    </row>
    <row r="61" spans="1:18" ht="14.1" customHeight="1">
      <c r="A61" s="560"/>
      <c r="B61" s="85">
        <v>57.734999999999999</v>
      </c>
      <c r="C61" s="36">
        <v>1</v>
      </c>
      <c r="D61" s="36">
        <v>1</v>
      </c>
      <c r="E61" s="6">
        <f t="shared" si="76"/>
        <v>57.734999999999999</v>
      </c>
      <c r="F61" s="96">
        <f t="shared" si="77"/>
        <v>57.734999999999999</v>
      </c>
      <c r="G61" s="451"/>
      <c r="H61" s="242"/>
      <c r="I61" s="243"/>
      <c r="J61" s="242"/>
      <c r="K61" s="242"/>
      <c r="L61" s="247"/>
      <c r="M61" s="85">
        <f t="shared" si="70"/>
        <v>-57.734999999999999</v>
      </c>
      <c r="N61" s="6">
        <f t="shared" si="71"/>
        <v>-57.734999999999999</v>
      </c>
      <c r="O61" s="96">
        <f t="shared" si="72"/>
        <v>-57.734999999999999</v>
      </c>
      <c r="P61" s="85">
        <f t="shared" si="73"/>
        <v>-57.734999999999999</v>
      </c>
      <c r="Q61" s="6">
        <f t="shared" si="74"/>
        <v>-57.734999999999999</v>
      </c>
      <c r="R61" s="96">
        <f t="shared" si="75"/>
        <v>-57.734999999999999</v>
      </c>
    </row>
    <row r="62" spans="1:18" ht="14.1" customHeight="1">
      <c r="A62" s="560"/>
      <c r="B62" s="85">
        <v>57.734999999999999</v>
      </c>
      <c r="C62" s="36">
        <v>1</v>
      </c>
      <c r="D62" s="36">
        <v>1</v>
      </c>
      <c r="E62" s="6">
        <f t="shared" si="76"/>
        <v>57.734999999999999</v>
      </c>
      <c r="F62" s="96">
        <f t="shared" si="77"/>
        <v>57.734999999999999</v>
      </c>
      <c r="G62" s="451"/>
      <c r="H62" s="242"/>
      <c r="I62" s="243"/>
      <c r="J62" s="242"/>
      <c r="K62" s="242"/>
      <c r="L62" s="247"/>
      <c r="M62" s="85">
        <f t="shared" si="70"/>
        <v>-57.734999999999999</v>
      </c>
      <c r="N62" s="6">
        <f t="shared" si="71"/>
        <v>-57.734999999999999</v>
      </c>
      <c r="O62" s="96">
        <f t="shared" si="72"/>
        <v>-57.734999999999999</v>
      </c>
      <c r="P62" s="85">
        <f t="shared" si="73"/>
        <v>-57.734999999999999</v>
      </c>
      <c r="Q62" s="6">
        <f t="shared" si="74"/>
        <v>-57.734999999999999</v>
      </c>
      <c r="R62" s="96">
        <f t="shared" si="75"/>
        <v>-57.734999999999999</v>
      </c>
    </row>
    <row r="63" spans="1:18" ht="14.1" customHeight="1">
      <c r="A63" s="560"/>
      <c r="B63" s="85">
        <v>57.734999999999999</v>
      </c>
      <c r="C63" s="36">
        <v>1</v>
      </c>
      <c r="D63" s="36">
        <v>1</v>
      </c>
      <c r="E63" s="6">
        <f t="shared" si="76"/>
        <v>57.734999999999999</v>
      </c>
      <c r="F63" s="96">
        <f t="shared" si="77"/>
        <v>57.734999999999999</v>
      </c>
      <c r="G63" s="451"/>
      <c r="H63" s="242"/>
      <c r="I63" s="243"/>
      <c r="J63" s="242"/>
      <c r="K63" s="242"/>
      <c r="L63" s="247"/>
      <c r="M63" s="85">
        <f t="shared" si="70"/>
        <v>-57.734999999999999</v>
      </c>
      <c r="N63" s="6">
        <f t="shared" si="71"/>
        <v>-57.734999999999999</v>
      </c>
      <c r="O63" s="96">
        <f t="shared" si="72"/>
        <v>-57.734999999999999</v>
      </c>
      <c r="P63" s="85">
        <f t="shared" si="73"/>
        <v>-57.734999999999999</v>
      </c>
      <c r="Q63" s="6">
        <f t="shared" si="74"/>
        <v>-57.734999999999999</v>
      </c>
      <c r="R63" s="96">
        <f t="shared" si="75"/>
        <v>-57.734999999999999</v>
      </c>
    </row>
    <row r="64" spans="1:18" ht="14.1" customHeight="1">
      <c r="A64" s="560"/>
      <c r="B64" s="85">
        <v>57.734999999999999</v>
      </c>
      <c r="C64" s="36">
        <v>1</v>
      </c>
      <c r="D64" s="36">
        <v>1</v>
      </c>
      <c r="E64" s="6">
        <f t="shared" si="76"/>
        <v>57.734999999999999</v>
      </c>
      <c r="F64" s="96">
        <f t="shared" si="77"/>
        <v>57.734999999999999</v>
      </c>
      <c r="G64" s="451"/>
      <c r="H64" s="242"/>
      <c r="I64" s="243"/>
      <c r="J64" s="242"/>
      <c r="K64" s="242"/>
      <c r="L64" s="247"/>
      <c r="M64" s="85">
        <f t="shared" si="70"/>
        <v>-57.734999999999999</v>
      </c>
      <c r="N64" s="6">
        <f t="shared" si="71"/>
        <v>-57.734999999999999</v>
      </c>
      <c r="O64" s="96">
        <f t="shared" si="72"/>
        <v>-57.734999999999999</v>
      </c>
      <c r="P64" s="85">
        <f t="shared" si="73"/>
        <v>-57.734999999999999</v>
      </c>
      <c r="Q64" s="6">
        <f t="shared" si="74"/>
        <v>-57.734999999999999</v>
      </c>
      <c r="R64" s="96">
        <f t="shared" si="75"/>
        <v>-57.734999999999999</v>
      </c>
    </row>
    <row r="65" spans="1:18" ht="14.1" customHeight="1">
      <c r="A65" s="560"/>
      <c r="B65" s="85">
        <v>57.734999999999999</v>
      </c>
      <c r="C65" s="36">
        <v>1</v>
      </c>
      <c r="D65" s="36">
        <v>1</v>
      </c>
      <c r="E65" s="6">
        <f t="shared" si="76"/>
        <v>57.734999999999999</v>
      </c>
      <c r="F65" s="96">
        <f t="shared" si="77"/>
        <v>57.734999999999999</v>
      </c>
      <c r="G65" s="451"/>
      <c r="H65" s="242"/>
      <c r="I65" s="243"/>
      <c r="J65" s="242"/>
      <c r="K65" s="242"/>
      <c r="L65" s="247"/>
      <c r="M65" s="85">
        <f t="shared" si="70"/>
        <v>-57.734999999999999</v>
      </c>
      <c r="N65" s="6">
        <f t="shared" si="71"/>
        <v>-57.734999999999999</v>
      </c>
      <c r="O65" s="96">
        <f t="shared" si="72"/>
        <v>-57.734999999999999</v>
      </c>
      <c r="P65" s="85">
        <f t="shared" si="73"/>
        <v>-57.734999999999999</v>
      </c>
      <c r="Q65" s="6">
        <f t="shared" si="74"/>
        <v>-57.734999999999999</v>
      </c>
      <c r="R65" s="96">
        <f t="shared" si="75"/>
        <v>-57.734999999999999</v>
      </c>
    </row>
    <row r="66" spans="1:18" ht="14.1" customHeight="1">
      <c r="A66" s="560"/>
      <c r="B66" s="85">
        <v>57.734999999999999</v>
      </c>
      <c r="C66" s="36">
        <v>1</v>
      </c>
      <c r="D66" s="36">
        <v>1</v>
      </c>
      <c r="E66" s="6">
        <f t="shared" si="76"/>
        <v>57.734999999999999</v>
      </c>
      <c r="F66" s="96">
        <f t="shared" si="77"/>
        <v>57.734999999999999</v>
      </c>
      <c r="G66" s="451"/>
      <c r="H66" s="242"/>
      <c r="I66" s="243"/>
      <c r="J66" s="242"/>
      <c r="K66" s="242"/>
      <c r="L66" s="247"/>
      <c r="M66" s="85">
        <f t="shared" si="70"/>
        <v>-57.734999999999999</v>
      </c>
      <c r="N66" s="6">
        <f t="shared" si="71"/>
        <v>-57.734999999999999</v>
      </c>
      <c r="O66" s="96">
        <f t="shared" si="72"/>
        <v>-57.734999999999999</v>
      </c>
      <c r="P66" s="85">
        <f t="shared" si="73"/>
        <v>-57.734999999999999</v>
      </c>
      <c r="Q66" s="6">
        <f t="shared" si="74"/>
        <v>-57.734999999999999</v>
      </c>
      <c r="R66" s="96">
        <f t="shared" si="75"/>
        <v>-57.734999999999999</v>
      </c>
    </row>
    <row r="67" spans="1:18" ht="14.1" customHeight="1" thickBot="1">
      <c r="A67" s="561"/>
      <c r="B67" s="86">
        <v>57.734999999999999</v>
      </c>
      <c r="C67" s="87">
        <v>1</v>
      </c>
      <c r="D67" s="87">
        <v>1</v>
      </c>
      <c r="E67" s="17">
        <f t="shared" si="76"/>
        <v>57.734999999999999</v>
      </c>
      <c r="F67" s="97">
        <f t="shared" si="77"/>
        <v>57.734999999999999</v>
      </c>
      <c r="G67" s="452"/>
      <c r="H67" s="244"/>
      <c r="I67" s="245"/>
      <c r="J67" s="244"/>
      <c r="K67" s="244"/>
      <c r="L67" s="248"/>
      <c r="M67" s="86">
        <f t="shared" si="70"/>
        <v>-57.734999999999999</v>
      </c>
      <c r="N67" s="17">
        <f t="shared" si="71"/>
        <v>-57.734999999999999</v>
      </c>
      <c r="O67" s="97">
        <f t="shared" si="72"/>
        <v>-57.734999999999999</v>
      </c>
      <c r="P67" s="86">
        <f t="shared" si="73"/>
        <v>-57.734999999999999</v>
      </c>
      <c r="Q67" s="17">
        <f t="shared" si="74"/>
        <v>-57.734999999999999</v>
      </c>
      <c r="R67" s="97">
        <f t="shared" si="75"/>
        <v>-57.734999999999999</v>
      </c>
    </row>
    <row r="68" spans="1:18" ht="14.1" customHeight="1">
      <c r="B68" s="28" t="s">
        <v>14</v>
      </c>
      <c r="C68" s="29" t="s">
        <v>143</v>
      </c>
      <c r="D68" s="30" t="s">
        <v>0</v>
      </c>
      <c r="E68" s="31" t="s">
        <v>157</v>
      </c>
      <c r="F68" s="94" t="s">
        <v>148</v>
      </c>
      <c r="G68" s="423" t="s">
        <v>154</v>
      </c>
      <c r="H68" s="23" t="s">
        <v>155</v>
      </c>
      <c r="I68" s="24" t="s">
        <v>156</v>
      </c>
      <c r="J68" s="23" t="s">
        <v>154</v>
      </c>
      <c r="K68" s="23" t="s">
        <v>155</v>
      </c>
      <c r="L68" s="187" t="s">
        <v>156</v>
      </c>
      <c r="M68" s="99" t="s">
        <v>154</v>
      </c>
      <c r="N68" s="100" t="s">
        <v>155</v>
      </c>
      <c r="O68" s="101" t="s">
        <v>156</v>
      </c>
      <c r="P68" s="99" t="s">
        <v>154</v>
      </c>
      <c r="Q68" s="100" t="s">
        <v>155</v>
      </c>
      <c r="R68" s="101" t="s">
        <v>156</v>
      </c>
    </row>
    <row r="69" spans="1:18" s="1" customFormat="1" ht="14.1" customHeight="1">
      <c r="B69" s="25">
        <f t="shared" ref="B69:F69" si="78">AVERAGE(B71:B80)</f>
        <v>57.734999999999999</v>
      </c>
      <c r="C69" s="26">
        <f t="shared" si="78"/>
        <v>0.5</v>
      </c>
      <c r="D69" s="26">
        <f t="shared" si="78"/>
        <v>1</v>
      </c>
      <c r="E69" s="26">
        <f t="shared" si="78"/>
        <v>28.8675</v>
      </c>
      <c r="F69" s="27">
        <f t="shared" si="78"/>
        <v>28.8675</v>
      </c>
      <c r="G69" s="195" t="e">
        <f t="shared" ref="G69:N69" si="79">AVERAGE(G71:G80)</f>
        <v>#DIV/0!</v>
      </c>
      <c r="H69" s="26" t="e">
        <f t="shared" si="79"/>
        <v>#DIV/0!</v>
      </c>
      <c r="I69" s="27" t="e">
        <f t="shared" si="79"/>
        <v>#DIV/0!</v>
      </c>
      <c r="J69" s="26" t="e">
        <f t="shared" si="79"/>
        <v>#DIV/0!</v>
      </c>
      <c r="K69" s="26" t="e">
        <f t="shared" si="79"/>
        <v>#DIV/0!</v>
      </c>
      <c r="L69" s="32" t="e">
        <f t="shared" si="79"/>
        <v>#DIV/0!</v>
      </c>
      <c r="M69" s="145">
        <f t="shared" si="79"/>
        <v>-28.8675</v>
      </c>
      <c r="N69" s="146">
        <f t="shared" si="79"/>
        <v>-28.8675</v>
      </c>
      <c r="O69" s="147">
        <f>AVERAGE(O71:O80)</f>
        <v>-28.8675</v>
      </c>
      <c r="P69" s="145">
        <f t="shared" ref="P69" si="80">AVERAGE(P71:P80)</f>
        <v>-28.8675</v>
      </c>
      <c r="Q69" s="146">
        <f>AVERAGE(Q71:Q80)</f>
        <v>-28.8675</v>
      </c>
      <c r="R69" s="147">
        <f t="shared" ref="R69" si="81">AVERAGE(R71:R80)</f>
        <v>-28.8675</v>
      </c>
    </row>
    <row r="70" spans="1:18" s="135" customFormat="1" ht="14.1" customHeight="1" thickBot="1">
      <c r="B70" s="136">
        <f>STDEV(B71:B80)/B69*100</f>
        <v>0</v>
      </c>
      <c r="C70" s="137">
        <f>STDEV(C71:C80)/C69*100</f>
        <v>0</v>
      </c>
      <c r="D70" s="137">
        <f>STDEV(D71:D80)/D69*100</f>
        <v>0</v>
      </c>
      <c r="E70" s="137">
        <f>STDEV(E71:E80)/F69*100</f>
        <v>0</v>
      </c>
      <c r="F70" s="148">
        <f>STDEV(F71:F80)/F69*100</f>
        <v>0</v>
      </c>
      <c r="G70" s="445" t="e">
        <f>STDEV(G71:G80)/F69*100</f>
        <v>#DIV/0!</v>
      </c>
      <c r="H70" s="141" t="e">
        <f>STDEV(H71:H80)/F69*100</f>
        <v>#DIV/0!</v>
      </c>
      <c r="I70" s="142" t="e">
        <f>STDEV(I71:I80)/F69*100</f>
        <v>#DIV/0!</v>
      </c>
      <c r="J70" s="141" t="e">
        <f>STDEV(J71:J80)/F69*100</f>
        <v>#DIV/0!</v>
      </c>
      <c r="K70" s="141" t="e">
        <f>STDEV(K71:K80)/F69*100</f>
        <v>#DIV/0!</v>
      </c>
      <c r="L70" s="188" t="e">
        <f>STDEV(L71:L80)/F69*100</f>
        <v>#DIV/0!</v>
      </c>
      <c r="M70" s="192">
        <f>100*STDEV(M71:M80)/$F$69</f>
        <v>0</v>
      </c>
      <c r="N70" s="193">
        <f t="shared" ref="N70:O70" si="82">100*STDEV(N71:N80)/$F$69</f>
        <v>0</v>
      </c>
      <c r="O70" s="194">
        <f t="shared" si="82"/>
        <v>0</v>
      </c>
      <c r="P70" s="192">
        <f>100*STDEV(P71:P80)/$F$69</f>
        <v>0</v>
      </c>
      <c r="Q70" s="193">
        <f t="shared" ref="Q70" si="83">100*STDEV(Q71:Q80)/$F$69</f>
        <v>0</v>
      </c>
      <c r="R70" s="194">
        <f t="shared" ref="R70" si="84">100*STDEV(R71:R80)/$F$69</f>
        <v>0</v>
      </c>
    </row>
    <row r="71" spans="1:18" ht="14.1" customHeight="1">
      <c r="A71" s="559" t="s">
        <v>30</v>
      </c>
      <c r="B71" s="9">
        <v>57.734999999999999</v>
      </c>
      <c r="C71" s="34">
        <v>0.5</v>
      </c>
      <c r="D71" s="10">
        <v>1</v>
      </c>
      <c r="E71" s="3">
        <f>B71*C71*D71</f>
        <v>28.8675</v>
      </c>
      <c r="F71" s="95">
        <f>B71*C71</f>
        <v>28.8675</v>
      </c>
      <c r="G71" s="450"/>
      <c r="H71" s="240"/>
      <c r="I71" s="241"/>
      <c r="J71" s="240"/>
      <c r="K71" s="240"/>
      <c r="L71" s="246"/>
      <c r="M71" s="189">
        <f t="shared" ref="M71:M80" si="85">(G71-E71)</f>
        <v>-28.8675</v>
      </c>
      <c r="N71" s="132">
        <f t="shared" ref="N71:N80" si="86">(H71-E71)</f>
        <v>-28.8675</v>
      </c>
      <c r="O71" s="191">
        <f t="shared" ref="O71:O80" si="87">(I71-E71)</f>
        <v>-28.8675</v>
      </c>
      <c r="P71" s="189">
        <f t="shared" ref="P71:P80" si="88">(J71-E71)</f>
        <v>-28.8675</v>
      </c>
      <c r="Q71" s="132">
        <f t="shared" ref="Q71:Q80" si="89">(K71-E71)</f>
        <v>-28.8675</v>
      </c>
      <c r="R71" s="191">
        <f t="shared" ref="R71:R80" si="90">(L71-E71)</f>
        <v>-28.8675</v>
      </c>
    </row>
    <row r="72" spans="1:18" ht="14.1" customHeight="1">
      <c r="A72" s="560"/>
      <c r="B72" s="85">
        <v>57.734999999999999</v>
      </c>
      <c r="C72" s="7">
        <v>0.5</v>
      </c>
      <c r="D72" s="36">
        <v>1</v>
      </c>
      <c r="E72" s="6">
        <f t="shared" ref="E72:E80" si="91">B72*C72*D72</f>
        <v>28.8675</v>
      </c>
      <c r="F72" s="96">
        <f t="shared" ref="F72:F80" si="92">B72*C72</f>
        <v>28.8675</v>
      </c>
      <c r="G72" s="451"/>
      <c r="H72" s="242"/>
      <c r="I72" s="243"/>
      <c r="J72" s="242"/>
      <c r="K72" s="242"/>
      <c r="L72" s="247"/>
      <c r="M72" s="85">
        <f t="shared" si="85"/>
        <v>-28.8675</v>
      </c>
      <c r="N72" s="6">
        <f t="shared" si="86"/>
        <v>-28.8675</v>
      </c>
      <c r="O72" s="96">
        <f t="shared" si="87"/>
        <v>-28.8675</v>
      </c>
      <c r="P72" s="85">
        <f t="shared" si="88"/>
        <v>-28.8675</v>
      </c>
      <c r="Q72" s="6">
        <f t="shared" si="89"/>
        <v>-28.8675</v>
      </c>
      <c r="R72" s="96">
        <f t="shared" si="90"/>
        <v>-28.8675</v>
      </c>
    </row>
    <row r="73" spans="1:18" ht="14.1" customHeight="1">
      <c r="A73" s="560"/>
      <c r="B73" s="85">
        <v>57.734999999999999</v>
      </c>
      <c r="C73" s="7">
        <v>0.5</v>
      </c>
      <c r="D73" s="36">
        <v>1</v>
      </c>
      <c r="E73" s="6">
        <f t="shared" si="91"/>
        <v>28.8675</v>
      </c>
      <c r="F73" s="96">
        <f t="shared" si="92"/>
        <v>28.8675</v>
      </c>
      <c r="G73" s="451"/>
      <c r="H73" s="242"/>
      <c r="I73" s="243"/>
      <c r="J73" s="242"/>
      <c r="K73" s="242"/>
      <c r="L73" s="247"/>
      <c r="M73" s="85">
        <f t="shared" si="85"/>
        <v>-28.8675</v>
      </c>
      <c r="N73" s="6">
        <f t="shared" si="86"/>
        <v>-28.8675</v>
      </c>
      <c r="O73" s="96">
        <f t="shared" si="87"/>
        <v>-28.8675</v>
      </c>
      <c r="P73" s="85">
        <f t="shared" si="88"/>
        <v>-28.8675</v>
      </c>
      <c r="Q73" s="6">
        <f t="shared" si="89"/>
        <v>-28.8675</v>
      </c>
      <c r="R73" s="96">
        <f t="shared" si="90"/>
        <v>-28.8675</v>
      </c>
    </row>
    <row r="74" spans="1:18" ht="14.1" customHeight="1">
      <c r="A74" s="560"/>
      <c r="B74" s="85">
        <v>57.734999999999999</v>
      </c>
      <c r="C74" s="7">
        <v>0.5</v>
      </c>
      <c r="D74" s="36">
        <v>1</v>
      </c>
      <c r="E74" s="6">
        <f t="shared" si="91"/>
        <v>28.8675</v>
      </c>
      <c r="F74" s="96">
        <f t="shared" si="92"/>
        <v>28.8675</v>
      </c>
      <c r="G74" s="451"/>
      <c r="H74" s="242"/>
      <c r="I74" s="243"/>
      <c r="J74" s="242"/>
      <c r="K74" s="242"/>
      <c r="L74" s="247"/>
      <c r="M74" s="85">
        <f t="shared" si="85"/>
        <v>-28.8675</v>
      </c>
      <c r="N74" s="6">
        <f t="shared" si="86"/>
        <v>-28.8675</v>
      </c>
      <c r="O74" s="96">
        <f t="shared" si="87"/>
        <v>-28.8675</v>
      </c>
      <c r="P74" s="85">
        <f t="shared" si="88"/>
        <v>-28.8675</v>
      </c>
      <c r="Q74" s="6">
        <f t="shared" si="89"/>
        <v>-28.8675</v>
      </c>
      <c r="R74" s="96">
        <f t="shared" si="90"/>
        <v>-28.8675</v>
      </c>
    </row>
    <row r="75" spans="1:18" ht="14.1" customHeight="1">
      <c r="A75" s="560"/>
      <c r="B75" s="85">
        <v>57.734999999999999</v>
      </c>
      <c r="C75" s="7">
        <v>0.5</v>
      </c>
      <c r="D75" s="36">
        <v>1</v>
      </c>
      <c r="E75" s="6">
        <f t="shared" si="91"/>
        <v>28.8675</v>
      </c>
      <c r="F75" s="96">
        <f t="shared" si="92"/>
        <v>28.8675</v>
      </c>
      <c r="G75" s="451"/>
      <c r="H75" s="242"/>
      <c r="I75" s="243"/>
      <c r="J75" s="242"/>
      <c r="K75" s="242"/>
      <c r="L75" s="247"/>
      <c r="M75" s="85">
        <f t="shared" si="85"/>
        <v>-28.8675</v>
      </c>
      <c r="N75" s="6">
        <f t="shared" si="86"/>
        <v>-28.8675</v>
      </c>
      <c r="O75" s="96">
        <f t="shared" si="87"/>
        <v>-28.8675</v>
      </c>
      <c r="P75" s="85">
        <f t="shared" si="88"/>
        <v>-28.8675</v>
      </c>
      <c r="Q75" s="6">
        <f t="shared" si="89"/>
        <v>-28.8675</v>
      </c>
      <c r="R75" s="96">
        <f t="shared" si="90"/>
        <v>-28.8675</v>
      </c>
    </row>
    <row r="76" spans="1:18" ht="14.1" customHeight="1">
      <c r="A76" s="560"/>
      <c r="B76" s="85">
        <v>57.734999999999999</v>
      </c>
      <c r="C76" s="7">
        <v>0.5</v>
      </c>
      <c r="D76" s="36">
        <v>1</v>
      </c>
      <c r="E76" s="6">
        <f t="shared" si="91"/>
        <v>28.8675</v>
      </c>
      <c r="F76" s="96">
        <f t="shared" si="92"/>
        <v>28.8675</v>
      </c>
      <c r="G76" s="451"/>
      <c r="H76" s="242"/>
      <c r="I76" s="243"/>
      <c r="J76" s="242"/>
      <c r="K76" s="242"/>
      <c r="L76" s="247"/>
      <c r="M76" s="85">
        <f t="shared" si="85"/>
        <v>-28.8675</v>
      </c>
      <c r="N76" s="6">
        <f t="shared" si="86"/>
        <v>-28.8675</v>
      </c>
      <c r="O76" s="96">
        <f t="shared" si="87"/>
        <v>-28.8675</v>
      </c>
      <c r="P76" s="85">
        <f t="shared" si="88"/>
        <v>-28.8675</v>
      </c>
      <c r="Q76" s="6">
        <f t="shared" si="89"/>
        <v>-28.8675</v>
      </c>
      <c r="R76" s="96">
        <f t="shared" si="90"/>
        <v>-28.8675</v>
      </c>
    </row>
    <row r="77" spans="1:18" ht="14.1" customHeight="1">
      <c r="A77" s="560"/>
      <c r="B77" s="85">
        <v>57.734999999999999</v>
      </c>
      <c r="C77" s="7">
        <v>0.5</v>
      </c>
      <c r="D77" s="36">
        <v>1</v>
      </c>
      <c r="E77" s="6">
        <f t="shared" si="91"/>
        <v>28.8675</v>
      </c>
      <c r="F77" s="96">
        <f t="shared" si="92"/>
        <v>28.8675</v>
      </c>
      <c r="G77" s="451"/>
      <c r="H77" s="242"/>
      <c r="I77" s="243"/>
      <c r="J77" s="242"/>
      <c r="K77" s="242"/>
      <c r="L77" s="247"/>
      <c r="M77" s="85">
        <f t="shared" si="85"/>
        <v>-28.8675</v>
      </c>
      <c r="N77" s="6">
        <f t="shared" si="86"/>
        <v>-28.8675</v>
      </c>
      <c r="O77" s="96">
        <f t="shared" si="87"/>
        <v>-28.8675</v>
      </c>
      <c r="P77" s="85">
        <f t="shared" si="88"/>
        <v>-28.8675</v>
      </c>
      <c r="Q77" s="6">
        <f t="shared" si="89"/>
        <v>-28.8675</v>
      </c>
      <c r="R77" s="96">
        <f t="shared" si="90"/>
        <v>-28.8675</v>
      </c>
    </row>
    <row r="78" spans="1:18" ht="14.1" customHeight="1">
      <c r="A78" s="560"/>
      <c r="B78" s="85">
        <v>57.734999999999999</v>
      </c>
      <c r="C78" s="7">
        <v>0.5</v>
      </c>
      <c r="D78" s="36">
        <v>1</v>
      </c>
      <c r="E78" s="6">
        <f t="shared" si="91"/>
        <v>28.8675</v>
      </c>
      <c r="F78" s="96">
        <f t="shared" si="92"/>
        <v>28.8675</v>
      </c>
      <c r="G78" s="451"/>
      <c r="H78" s="242"/>
      <c r="I78" s="243"/>
      <c r="J78" s="242"/>
      <c r="K78" s="242"/>
      <c r="L78" s="247"/>
      <c r="M78" s="85">
        <f t="shared" si="85"/>
        <v>-28.8675</v>
      </c>
      <c r="N78" s="6">
        <f t="shared" si="86"/>
        <v>-28.8675</v>
      </c>
      <c r="O78" s="96">
        <f t="shared" si="87"/>
        <v>-28.8675</v>
      </c>
      <c r="P78" s="85">
        <f t="shared" si="88"/>
        <v>-28.8675</v>
      </c>
      <c r="Q78" s="6">
        <f t="shared" si="89"/>
        <v>-28.8675</v>
      </c>
      <c r="R78" s="96">
        <f t="shared" si="90"/>
        <v>-28.8675</v>
      </c>
    </row>
    <row r="79" spans="1:18" ht="14.1" customHeight="1">
      <c r="A79" s="560"/>
      <c r="B79" s="85">
        <v>57.734999999999999</v>
      </c>
      <c r="C79" s="7">
        <v>0.5</v>
      </c>
      <c r="D79" s="36">
        <v>1</v>
      </c>
      <c r="E79" s="6">
        <f t="shared" si="91"/>
        <v>28.8675</v>
      </c>
      <c r="F79" s="96">
        <f t="shared" si="92"/>
        <v>28.8675</v>
      </c>
      <c r="G79" s="451"/>
      <c r="H79" s="242"/>
      <c r="I79" s="243"/>
      <c r="J79" s="242"/>
      <c r="K79" s="242"/>
      <c r="L79" s="247"/>
      <c r="M79" s="85">
        <f t="shared" si="85"/>
        <v>-28.8675</v>
      </c>
      <c r="N79" s="6">
        <f t="shared" si="86"/>
        <v>-28.8675</v>
      </c>
      <c r="O79" s="96">
        <f t="shared" si="87"/>
        <v>-28.8675</v>
      </c>
      <c r="P79" s="85">
        <f t="shared" si="88"/>
        <v>-28.8675</v>
      </c>
      <c r="Q79" s="6">
        <f t="shared" si="89"/>
        <v>-28.8675</v>
      </c>
      <c r="R79" s="96">
        <f t="shared" si="90"/>
        <v>-28.8675</v>
      </c>
    </row>
    <row r="80" spans="1:18" ht="14.1" customHeight="1" thickBot="1">
      <c r="A80" s="561"/>
      <c r="B80" s="86">
        <v>57.734999999999999</v>
      </c>
      <c r="C80" s="21">
        <v>0.5</v>
      </c>
      <c r="D80" s="87">
        <v>1</v>
      </c>
      <c r="E80" s="17">
        <f t="shared" si="91"/>
        <v>28.8675</v>
      </c>
      <c r="F80" s="97">
        <f t="shared" si="92"/>
        <v>28.8675</v>
      </c>
      <c r="G80" s="452"/>
      <c r="H80" s="244"/>
      <c r="I80" s="245"/>
      <c r="J80" s="244"/>
      <c r="K80" s="244"/>
      <c r="L80" s="248"/>
      <c r="M80" s="86">
        <f t="shared" si="85"/>
        <v>-28.8675</v>
      </c>
      <c r="N80" s="17">
        <f t="shared" si="86"/>
        <v>-28.8675</v>
      </c>
      <c r="O80" s="97">
        <f t="shared" si="87"/>
        <v>-28.8675</v>
      </c>
      <c r="P80" s="86">
        <f t="shared" si="88"/>
        <v>-28.8675</v>
      </c>
      <c r="Q80" s="17">
        <f t="shared" si="89"/>
        <v>-28.8675</v>
      </c>
      <c r="R80" s="97">
        <f t="shared" si="90"/>
        <v>-28.8675</v>
      </c>
    </row>
    <row r="81" spans="1:18" ht="14.1" customHeight="1">
      <c r="B81" s="28" t="s">
        <v>14</v>
      </c>
      <c r="C81" s="29" t="s">
        <v>143</v>
      </c>
      <c r="D81" s="30" t="s">
        <v>0</v>
      </c>
      <c r="E81" s="31" t="s">
        <v>157</v>
      </c>
      <c r="F81" s="94" t="s">
        <v>148</v>
      </c>
      <c r="G81" s="423" t="s">
        <v>154</v>
      </c>
      <c r="H81" s="23" t="s">
        <v>155</v>
      </c>
      <c r="I81" s="24" t="s">
        <v>156</v>
      </c>
      <c r="J81" s="23" t="s">
        <v>154</v>
      </c>
      <c r="K81" s="23" t="s">
        <v>155</v>
      </c>
      <c r="L81" s="187" t="s">
        <v>156</v>
      </c>
      <c r="M81" s="99" t="s">
        <v>154</v>
      </c>
      <c r="N81" s="100" t="s">
        <v>155</v>
      </c>
      <c r="O81" s="101" t="s">
        <v>156</v>
      </c>
      <c r="P81" s="99" t="s">
        <v>154</v>
      </c>
      <c r="Q81" s="100" t="s">
        <v>155</v>
      </c>
      <c r="R81" s="101" t="s">
        <v>156</v>
      </c>
    </row>
    <row r="82" spans="1:18" s="1" customFormat="1" ht="14.1" customHeight="1">
      <c r="B82" s="25">
        <f t="shared" ref="B82:F82" si="93">AVERAGE(B84:B93)</f>
        <v>57.734999999999999</v>
      </c>
      <c r="C82" s="26">
        <f t="shared" si="93"/>
        <v>0.25</v>
      </c>
      <c r="D82" s="26">
        <f t="shared" si="93"/>
        <v>1</v>
      </c>
      <c r="E82" s="26">
        <f t="shared" si="93"/>
        <v>14.43375</v>
      </c>
      <c r="F82" s="27">
        <f t="shared" si="93"/>
        <v>14.43375</v>
      </c>
      <c r="G82" s="195" t="e">
        <f t="shared" ref="G82:N82" si="94">AVERAGE(G84:G93)</f>
        <v>#DIV/0!</v>
      </c>
      <c r="H82" s="26" t="e">
        <f t="shared" si="94"/>
        <v>#DIV/0!</v>
      </c>
      <c r="I82" s="27" t="e">
        <f t="shared" si="94"/>
        <v>#DIV/0!</v>
      </c>
      <c r="J82" s="26" t="e">
        <f t="shared" si="94"/>
        <v>#DIV/0!</v>
      </c>
      <c r="K82" s="26" t="e">
        <f t="shared" si="94"/>
        <v>#DIV/0!</v>
      </c>
      <c r="L82" s="32" t="e">
        <f t="shared" si="94"/>
        <v>#DIV/0!</v>
      </c>
      <c r="M82" s="145">
        <f t="shared" si="94"/>
        <v>-14.43375</v>
      </c>
      <c r="N82" s="146">
        <f t="shared" si="94"/>
        <v>-14.43375</v>
      </c>
      <c r="O82" s="147">
        <f>AVERAGE(O84:O93)</f>
        <v>-14.43375</v>
      </c>
      <c r="P82" s="145">
        <f t="shared" ref="P82" si="95">AVERAGE(P84:P93)</f>
        <v>-14.43375</v>
      </c>
      <c r="Q82" s="146">
        <f>AVERAGE(Q84:Q93)</f>
        <v>-14.43375</v>
      </c>
      <c r="R82" s="147">
        <f t="shared" ref="R82" si="96">AVERAGE(R84:R93)</f>
        <v>-14.43375</v>
      </c>
    </row>
    <row r="83" spans="1:18" s="135" customFormat="1" ht="14.1" customHeight="1" thickBot="1">
      <c r="B83" s="136">
        <f>STDEV(B84:B93)/B82*100</f>
        <v>0</v>
      </c>
      <c r="C83" s="137">
        <f>STDEV(C84:C93)/C82*100</f>
        <v>0</v>
      </c>
      <c r="D83" s="137">
        <f>STDEV(D84:D93)/D82*100</f>
        <v>0</v>
      </c>
      <c r="E83" s="137">
        <f>STDEV(E84:E93)/F82*100</f>
        <v>0</v>
      </c>
      <c r="F83" s="148">
        <f>STDEV(F84:F93)/F82*100</f>
        <v>0</v>
      </c>
      <c r="G83" s="445" t="e">
        <f>STDEV(G84:G93)/F82*100</f>
        <v>#DIV/0!</v>
      </c>
      <c r="H83" s="141" t="e">
        <f>STDEV(H84:H93)/F82*100</f>
        <v>#DIV/0!</v>
      </c>
      <c r="I83" s="142" t="e">
        <f>STDEV(I84:I93)/F82*100</f>
        <v>#DIV/0!</v>
      </c>
      <c r="J83" s="141" t="e">
        <f>STDEV(J84:J93)/F82*100</f>
        <v>#DIV/0!</v>
      </c>
      <c r="K83" s="141" t="e">
        <f>STDEV(K84:K93)/F82*100</f>
        <v>#DIV/0!</v>
      </c>
      <c r="L83" s="188" t="e">
        <f>STDEV(L84:L93)/F82*100</f>
        <v>#DIV/0!</v>
      </c>
      <c r="M83" s="192">
        <f>100*STDEV(M84:M93)/$F$82</f>
        <v>0</v>
      </c>
      <c r="N83" s="193">
        <f t="shared" ref="N83:O83" si="97">100*STDEV(N84:N93)/$F$82</f>
        <v>0</v>
      </c>
      <c r="O83" s="194">
        <f t="shared" si="97"/>
        <v>0</v>
      </c>
      <c r="P83" s="192">
        <f>100*STDEV(P84:P93)/$F$82</f>
        <v>0</v>
      </c>
      <c r="Q83" s="193">
        <f t="shared" ref="Q83" si="98">100*STDEV(Q84:Q93)/$F$82</f>
        <v>0</v>
      </c>
      <c r="R83" s="194">
        <f t="shared" ref="R83" si="99">100*STDEV(R84:R93)/$F$82</f>
        <v>0</v>
      </c>
    </row>
    <row r="84" spans="1:18" ht="14.1" customHeight="1">
      <c r="A84" s="559" t="s">
        <v>31</v>
      </c>
      <c r="B84" s="9">
        <v>57.734999999999999</v>
      </c>
      <c r="C84" s="88">
        <v>0.25</v>
      </c>
      <c r="D84" s="10">
        <v>1</v>
      </c>
      <c r="E84" s="3">
        <f>B84*C84*D84</f>
        <v>14.43375</v>
      </c>
      <c r="F84" s="95">
        <f>B84*C84</f>
        <v>14.43375</v>
      </c>
      <c r="G84" s="450"/>
      <c r="H84" s="240"/>
      <c r="I84" s="241"/>
      <c r="J84" s="240"/>
      <c r="K84" s="240"/>
      <c r="L84" s="246"/>
      <c r="M84" s="189">
        <f t="shared" ref="M84:M93" si="100">(G84-E84)</f>
        <v>-14.43375</v>
      </c>
      <c r="N84" s="132">
        <f t="shared" ref="N84:N93" si="101">(H84-E84)</f>
        <v>-14.43375</v>
      </c>
      <c r="O84" s="191">
        <f t="shared" ref="O84:O93" si="102">(I84-E84)</f>
        <v>-14.43375</v>
      </c>
      <c r="P84" s="189">
        <f t="shared" ref="P84:P93" si="103">(J84-E84)</f>
        <v>-14.43375</v>
      </c>
      <c r="Q84" s="132">
        <f t="shared" ref="Q84:Q93" si="104">(K84-E84)</f>
        <v>-14.43375</v>
      </c>
      <c r="R84" s="191">
        <f t="shared" ref="R84:R93" si="105">(L84-E84)</f>
        <v>-14.43375</v>
      </c>
    </row>
    <row r="85" spans="1:18" ht="14.1" customHeight="1">
      <c r="A85" s="560"/>
      <c r="B85" s="85">
        <v>57.734999999999999</v>
      </c>
      <c r="C85" s="35">
        <v>0.25</v>
      </c>
      <c r="D85" s="36">
        <v>1</v>
      </c>
      <c r="E85" s="6">
        <f t="shared" ref="E85:E93" si="106">B85*C85*D85</f>
        <v>14.43375</v>
      </c>
      <c r="F85" s="96">
        <f t="shared" ref="F85:F93" si="107">B85*C85</f>
        <v>14.43375</v>
      </c>
      <c r="G85" s="451"/>
      <c r="H85" s="242"/>
      <c r="I85" s="243"/>
      <c r="J85" s="242"/>
      <c r="K85" s="242"/>
      <c r="L85" s="247"/>
      <c r="M85" s="85">
        <f t="shared" si="100"/>
        <v>-14.43375</v>
      </c>
      <c r="N85" s="6">
        <f t="shared" si="101"/>
        <v>-14.43375</v>
      </c>
      <c r="O85" s="96">
        <f t="shared" si="102"/>
        <v>-14.43375</v>
      </c>
      <c r="P85" s="85">
        <f t="shared" si="103"/>
        <v>-14.43375</v>
      </c>
      <c r="Q85" s="6">
        <f t="shared" si="104"/>
        <v>-14.43375</v>
      </c>
      <c r="R85" s="96">
        <f t="shared" si="105"/>
        <v>-14.43375</v>
      </c>
    </row>
    <row r="86" spans="1:18" ht="14.1" customHeight="1">
      <c r="A86" s="560"/>
      <c r="B86" s="85">
        <v>57.734999999999999</v>
      </c>
      <c r="C86" s="35">
        <v>0.25</v>
      </c>
      <c r="D86" s="36">
        <v>1</v>
      </c>
      <c r="E86" s="6">
        <f t="shared" si="106"/>
        <v>14.43375</v>
      </c>
      <c r="F86" s="96">
        <f t="shared" si="107"/>
        <v>14.43375</v>
      </c>
      <c r="G86" s="451"/>
      <c r="H86" s="242"/>
      <c r="I86" s="243"/>
      <c r="J86" s="242"/>
      <c r="K86" s="242"/>
      <c r="L86" s="247"/>
      <c r="M86" s="85">
        <f t="shared" si="100"/>
        <v>-14.43375</v>
      </c>
      <c r="N86" s="6">
        <f t="shared" si="101"/>
        <v>-14.43375</v>
      </c>
      <c r="O86" s="96">
        <f t="shared" si="102"/>
        <v>-14.43375</v>
      </c>
      <c r="P86" s="85">
        <f t="shared" si="103"/>
        <v>-14.43375</v>
      </c>
      <c r="Q86" s="6">
        <f t="shared" si="104"/>
        <v>-14.43375</v>
      </c>
      <c r="R86" s="96">
        <f t="shared" si="105"/>
        <v>-14.43375</v>
      </c>
    </row>
    <row r="87" spans="1:18" ht="14.1" customHeight="1">
      <c r="A87" s="560"/>
      <c r="B87" s="85">
        <v>57.734999999999999</v>
      </c>
      <c r="C87" s="35">
        <v>0.25</v>
      </c>
      <c r="D87" s="36">
        <v>1</v>
      </c>
      <c r="E87" s="6">
        <f t="shared" si="106"/>
        <v>14.43375</v>
      </c>
      <c r="F87" s="96">
        <f t="shared" si="107"/>
        <v>14.43375</v>
      </c>
      <c r="G87" s="451"/>
      <c r="H87" s="242"/>
      <c r="I87" s="243"/>
      <c r="J87" s="242"/>
      <c r="K87" s="242"/>
      <c r="L87" s="247"/>
      <c r="M87" s="85">
        <f t="shared" si="100"/>
        <v>-14.43375</v>
      </c>
      <c r="N87" s="6">
        <f t="shared" si="101"/>
        <v>-14.43375</v>
      </c>
      <c r="O87" s="96">
        <f t="shared" si="102"/>
        <v>-14.43375</v>
      </c>
      <c r="P87" s="85">
        <f t="shared" si="103"/>
        <v>-14.43375</v>
      </c>
      <c r="Q87" s="6">
        <f t="shared" si="104"/>
        <v>-14.43375</v>
      </c>
      <c r="R87" s="96">
        <f t="shared" si="105"/>
        <v>-14.43375</v>
      </c>
    </row>
    <row r="88" spans="1:18" ht="14.1" customHeight="1">
      <c r="A88" s="560"/>
      <c r="B88" s="85">
        <v>57.734999999999999</v>
      </c>
      <c r="C88" s="35">
        <v>0.25</v>
      </c>
      <c r="D88" s="36">
        <v>1</v>
      </c>
      <c r="E88" s="6">
        <f t="shared" si="106"/>
        <v>14.43375</v>
      </c>
      <c r="F88" s="96">
        <f t="shared" si="107"/>
        <v>14.43375</v>
      </c>
      <c r="G88" s="451"/>
      <c r="H88" s="242"/>
      <c r="I88" s="243"/>
      <c r="J88" s="242"/>
      <c r="K88" s="242"/>
      <c r="L88" s="247"/>
      <c r="M88" s="85">
        <f t="shared" si="100"/>
        <v>-14.43375</v>
      </c>
      <c r="N88" s="6">
        <f t="shared" si="101"/>
        <v>-14.43375</v>
      </c>
      <c r="O88" s="96">
        <f t="shared" si="102"/>
        <v>-14.43375</v>
      </c>
      <c r="P88" s="85">
        <f t="shared" si="103"/>
        <v>-14.43375</v>
      </c>
      <c r="Q88" s="6">
        <f t="shared" si="104"/>
        <v>-14.43375</v>
      </c>
      <c r="R88" s="96">
        <f t="shared" si="105"/>
        <v>-14.43375</v>
      </c>
    </row>
    <row r="89" spans="1:18" ht="14.1" customHeight="1">
      <c r="A89" s="560"/>
      <c r="B89" s="85">
        <v>57.734999999999999</v>
      </c>
      <c r="C89" s="35">
        <v>0.25</v>
      </c>
      <c r="D89" s="36">
        <v>1</v>
      </c>
      <c r="E89" s="6">
        <f t="shared" si="106"/>
        <v>14.43375</v>
      </c>
      <c r="F89" s="96">
        <f t="shared" si="107"/>
        <v>14.43375</v>
      </c>
      <c r="G89" s="451"/>
      <c r="H89" s="242"/>
      <c r="I89" s="243"/>
      <c r="J89" s="242"/>
      <c r="K89" s="242"/>
      <c r="L89" s="247"/>
      <c r="M89" s="85">
        <f t="shared" si="100"/>
        <v>-14.43375</v>
      </c>
      <c r="N89" s="6">
        <f t="shared" si="101"/>
        <v>-14.43375</v>
      </c>
      <c r="O89" s="96">
        <f t="shared" si="102"/>
        <v>-14.43375</v>
      </c>
      <c r="P89" s="85">
        <f t="shared" si="103"/>
        <v>-14.43375</v>
      </c>
      <c r="Q89" s="6">
        <f t="shared" si="104"/>
        <v>-14.43375</v>
      </c>
      <c r="R89" s="96">
        <f t="shared" si="105"/>
        <v>-14.43375</v>
      </c>
    </row>
    <row r="90" spans="1:18" ht="14.1" customHeight="1">
      <c r="A90" s="560"/>
      <c r="B90" s="85">
        <v>57.734999999999999</v>
      </c>
      <c r="C90" s="35">
        <v>0.25</v>
      </c>
      <c r="D90" s="36">
        <v>1</v>
      </c>
      <c r="E90" s="6">
        <f t="shared" si="106"/>
        <v>14.43375</v>
      </c>
      <c r="F90" s="96">
        <f t="shared" si="107"/>
        <v>14.43375</v>
      </c>
      <c r="G90" s="451"/>
      <c r="H90" s="242"/>
      <c r="I90" s="243"/>
      <c r="J90" s="242"/>
      <c r="K90" s="242"/>
      <c r="L90" s="247"/>
      <c r="M90" s="85">
        <f t="shared" si="100"/>
        <v>-14.43375</v>
      </c>
      <c r="N90" s="6">
        <f t="shared" si="101"/>
        <v>-14.43375</v>
      </c>
      <c r="O90" s="96">
        <f t="shared" si="102"/>
        <v>-14.43375</v>
      </c>
      <c r="P90" s="85">
        <f t="shared" si="103"/>
        <v>-14.43375</v>
      </c>
      <c r="Q90" s="6">
        <f t="shared" si="104"/>
        <v>-14.43375</v>
      </c>
      <c r="R90" s="96">
        <f t="shared" si="105"/>
        <v>-14.43375</v>
      </c>
    </row>
    <row r="91" spans="1:18" ht="14.1" customHeight="1">
      <c r="A91" s="560"/>
      <c r="B91" s="85">
        <v>57.734999999999999</v>
      </c>
      <c r="C91" s="35">
        <v>0.25</v>
      </c>
      <c r="D91" s="36">
        <v>1</v>
      </c>
      <c r="E91" s="6">
        <f t="shared" si="106"/>
        <v>14.43375</v>
      </c>
      <c r="F91" s="96">
        <f t="shared" si="107"/>
        <v>14.43375</v>
      </c>
      <c r="G91" s="451"/>
      <c r="H91" s="242"/>
      <c r="I91" s="243"/>
      <c r="J91" s="242"/>
      <c r="K91" s="242"/>
      <c r="L91" s="247"/>
      <c r="M91" s="85">
        <f t="shared" si="100"/>
        <v>-14.43375</v>
      </c>
      <c r="N91" s="6">
        <f t="shared" si="101"/>
        <v>-14.43375</v>
      </c>
      <c r="O91" s="96">
        <f t="shared" si="102"/>
        <v>-14.43375</v>
      </c>
      <c r="P91" s="85">
        <f t="shared" si="103"/>
        <v>-14.43375</v>
      </c>
      <c r="Q91" s="6">
        <f t="shared" si="104"/>
        <v>-14.43375</v>
      </c>
      <c r="R91" s="96">
        <f t="shared" si="105"/>
        <v>-14.43375</v>
      </c>
    </row>
    <row r="92" spans="1:18" ht="14.1" customHeight="1">
      <c r="A92" s="560"/>
      <c r="B92" s="85">
        <v>57.734999999999999</v>
      </c>
      <c r="C92" s="35">
        <v>0.25</v>
      </c>
      <c r="D92" s="36">
        <v>1</v>
      </c>
      <c r="E92" s="6">
        <f t="shared" si="106"/>
        <v>14.43375</v>
      </c>
      <c r="F92" s="96">
        <f t="shared" si="107"/>
        <v>14.43375</v>
      </c>
      <c r="G92" s="451"/>
      <c r="H92" s="242"/>
      <c r="I92" s="243"/>
      <c r="J92" s="242"/>
      <c r="K92" s="242"/>
      <c r="L92" s="247"/>
      <c r="M92" s="85">
        <f t="shared" si="100"/>
        <v>-14.43375</v>
      </c>
      <c r="N92" s="6">
        <f t="shared" si="101"/>
        <v>-14.43375</v>
      </c>
      <c r="O92" s="96">
        <f t="shared" si="102"/>
        <v>-14.43375</v>
      </c>
      <c r="P92" s="85">
        <f t="shared" si="103"/>
        <v>-14.43375</v>
      </c>
      <c r="Q92" s="6">
        <f t="shared" si="104"/>
        <v>-14.43375</v>
      </c>
      <c r="R92" s="96">
        <f t="shared" si="105"/>
        <v>-14.43375</v>
      </c>
    </row>
    <row r="93" spans="1:18" ht="14.1" customHeight="1" thickBot="1">
      <c r="A93" s="561"/>
      <c r="B93" s="86">
        <v>57.734999999999999</v>
      </c>
      <c r="C93" s="38">
        <v>0.25</v>
      </c>
      <c r="D93" s="87">
        <v>1</v>
      </c>
      <c r="E93" s="17">
        <f t="shared" si="106"/>
        <v>14.43375</v>
      </c>
      <c r="F93" s="97">
        <f t="shared" si="107"/>
        <v>14.43375</v>
      </c>
      <c r="G93" s="452"/>
      <c r="H93" s="244"/>
      <c r="I93" s="245"/>
      <c r="J93" s="244"/>
      <c r="K93" s="244"/>
      <c r="L93" s="248"/>
      <c r="M93" s="86">
        <f t="shared" si="100"/>
        <v>-14.43375</v>
      </c>
      <c r="N93" s="17">
        <f t="shared" si="101"/>
        <v>-14.43375</v>
      </c>
      <c r="O93" s="97">
        <f t="shared" si="102"/>
        <v>-14.43375</v>
      </c>
      <c r="P93" s="86">
        <f t="shared" si="103"/>
        <v>-14.43375</v>
      </c>
      <c r="Q93" s="17">
        <f t="shared" si="104"/>
        <v>-14.43375</v>
      </c>
      <c r="R93" s="97">
        <f t="shared" si="105"/>
        <v>-14.43375</v>
      </c>
    </row>
    <row r="94" spans="1:18" ht="14.1" customHeight="1">
      <c r="B94" s="28" t="s">
        <v>14</v>
      </c>
      <c r="C94" s="29" t="s">
        <v>143</v>
      </c>
      <c r="D94" s="30" t="s">
        <v>0</v>
      </c>
      <c r="E94" s="31" t="s">
        <v>157</v>
      </c>
      <c r="F94" s="94" t="s">
        <v>148</v>
      </c>
      <c r="G94" s="423" t="s">
        <v>154</v>
      </c>
      <c r="H94" s="23" t="s">
        <v>155</v>
      </c>
      <c r="I94" s="24" t="s">
        <v>156</v>
      </c>
      <c r="J94" s="23" t="s">
        <v>154</v>
      </c>
      <c r="K94" s="23" t="s">
        <v>155</v>
      </c>
      <c r="L94" s="187" t="s">
        <v>156</v>
      </c>
      <c r="M94" s="99" t="s">
        <v>154</v>
      </c>
      <c r="N94" s="100" t="s">
        <v>155</v>
      </c>
      <c r="O94" s="101" t="s">
        <v>156</v>
      </c>
      <c r="P94" s="99" t="s">
        <v>154</v>
      </c>
      <c r="Q94" s="100" t="s">
        <v>155</v>
      </c>
      <c r="R94" s="101" t="s">
        <v>156</v>
      </c>
    </row>
    <row r="95" spans="1:18" s="1" customFormat="1" ht="14.1" customHeight="1">
      <c r="B95" s="25">
        <f t="shared" ref="B95:F95" si="108">AVERAGE(B97:B106)</f>
        <v>57.734999999999999</v>
      </c>
      <c r="C95" s="26">
        <f t="shared" si="108"/>
        <v>9.9999999999999992E-2</v>
      </c>
      <c r="D95" s="26">
        <f t="shared" si="108"/>
        <v>1</v>
      </c>
      <c r="E95" s="26">
        <f t="shared" si="108"/>
        <v>5.7734999999999994</v>
      </c>
      <c r="F95" s="27">
        <f t="shared" si="108"/>
        <v>5.7734999999999994</v>
      </c>
      <c r="G95" s="195" t="e">
        <f t="shared" ref="G95:N95" si="109">AVERAGE(G97:G106)</f>
        <v>#DIV/0!</v>
      </c>
      <c r="H95" s="26" t="e">
        <f t="shared" si="109"/>
        <v>#DIV/0!</v>
      </c>
      <c r="I95" s="27" t="e">
        <f t="shared" si="109"/>
        <v>#DIV/0!</v>
      </c>
      <c r="J95" s="26" t="e">
        <f t="shared" si="109"/>
        <v>#DIV/0!</v>
      </c>
      <c r="K95" s="26" t="e">
        <f t="shared" si="109"/>
        <v>#DIV/0!</v>
      </c>
      <c r="L95" s="32" t="e">
        <f t="shared" si="109"/>
        <v>#DIV/0!</v>
      </c>
      <c r="M95" s="145">
        <f t="shared" si="109"/>
        <v>-5.7734999999999994</v>
      </c>
      <c r="N95" s="146">
        <f t="shared" si="109"/>
        <v>-5.7734999999999994</v>
      </c>
      <c r="O95" s="147">
        <f>AVERAGE(O97:O106)</f>
        <v>-5.7734999999999994</v>
      </c>
      <c r="P95" s="145">
        <f t="shared" ref="P95" si="110">AVERAGE(P97:P106)</f>
        <v>-5.7734999999999994</v>
      </c>
      <c r="Q95" s="146">
        <f>AVERAGE(Q97:Q106)</f>
        <v>-5.7734999999999994</v>
      </c>
      <c r="R95" s="147">
        <f t="shared" ref="R95" si="111">AVERAGE(R97:R106)</f>
        <v>-5.7734999999999994</v>
      </c>
    </row>
    <row r="96" spans="1:18" s="135" customFormat="1" ht="14.1" customHeight="1" thickBot="1">
      <c r="B96" s="136">
        <f>STDEV(B97:B106)/B95*100</f>
        <v>0</v>
      </c>
      <c r="C96" s="137">
        <f>STDEV(C97:C106)/C95*100</f>
        <v>1.4628472785736256E-14</v>
      </c>
      <c r="D96" s="137">
        <f>STDEV(D97:D106)/D95*100</f>
        <v>0</v>
      </c>
      <c r="E96" s="137">
        <f>STDEV(E97:E106)/F95*100</f>
        <v>1.6215852745944753E-14</v>
      </c>
      <c r="F96" s="148">
        <f>STDEV(F97:F106)/F95*100</f>
        <v>1.6215852745944753E-14</v>
      </c>
      <c r="G96" s="445" t="e">
        <f>STDEV(G97:G106)/F95*100</f>
        <v>#DIV/0!</v>
      </c>
      <c r="H96" s="141" t="e">
        <f>STDEV(H97:H106)/F95*100</f>
        <v>#DIV/0!</v>
      </c>
      <c r="I96" s="142" t="e">
        <f>STDEV(I97:I106)/F95*100</f>
        <v>#DIV/0!</v>
      </c>
      <c r="J96" s="141" t="e">
        <f>STDEV(J97:J106)/F95*100</f>
        <v>#DIV/0!</v>
      </c>
      <c r="K96" s="141" t="e">
        <f>STDEV(K97:K106)/F95*100</f>
        <v>#DIV/0!</v>
      </c>
      <c r="L96" s="188" t="e">
        <f>STDEV(L97:L106)/F95*100</f>
        <v>#DIV/0!</v>
      </c>
      <c r="M96" s="192">
        <f>100*STDEV(M97:M106)/$F$95</f>
        <v>1.6215852745944756E-14</v>
      </c>
      <c r="N96" s="193">
        <f t="shared" ref="N96:O96" si="112">100*STDEV(N97:N106)/$F$95</f>
        <v>1.6215852745944756E-14</v>
      </c>
      <c r="O96" s="194">
        <f t="shared" si="112"/>
        <v>1.6215852745944756E-14</v>
      </c>
      <c r="P96" s="192">
        <f>100*STDEV(P97:P106)/$F$95</f>
        <v>1.6215852745944756E-14</v>
      </c>
      <c r="Q96" s="193">
        <f t="shared" ref="Q96" si="113">100*STDEV(Q97:Q106)/$F$95</f>
        <v>1.6215852745944756E-14</v>
      </c>
      <c r="R96" s="194">
        <f t="shared" ref="R96" si="114">100*STDEV(R97:R106)/$F$95</f>
        <v>1.6215852745944756E-14</v>
      </c>
    </row>
    <row r="97" spans="1:18" ht="14.1" customHeight="1">
      <c r="A97" s="559" t="s">
        <v>32</v>
      </c>
      <c r="B97" s="9">
        <v>57.734999999999999</v>
      </c>
      <c r="C97" s="34">
        <v>0.1</v>
      </c>
      <c r="D97" s="10">
        <v>1</v>
      </c>
      <c r="E97" s="3">
        <f>B97*C97*D97</f>
        <v>5.7735000000000003</v>
      </c>
      <c r="F97" s="95">
        <f>B97*C97</f>
        <v>5.7735000000000003</v>
      </c>
      <c r="G97" s="450"/>
      <c r="H97" s="240"/>
      <c r="I97" s="241"/>
      <c r="J97" s="240"/>
      <c r="K97" s="240"/>
      <c r="L97" s="246"/>
      <c r="M97" s="189">
        <f t="shared" ref="M97:M106" si="115">(G97-E97)</f>
        <v>-5.7735000000000003</v>
      </c>
      <c r="N97" s="132">
        <f t="shared" ref="N97:N106" si="116">(H97-E97)</f>
        <v>-5.7735000000000003</v>
      </c>
      <c r="O97" s="191">
        <f t="shared" ref="O97:O106" si="117">(I97-E97)</f>
        <v>-5.7735000000000003</v>
      </c>
      <c r="P97" s="189">
        <f t="shared" ref="P97:P106" si="118">(J97-E97)</f>
        <v>-5.7735000000000003</v>
      </c>
      <c r="Q97" s="132">
        <f t="shared" ref="Q97:Q106" si="119">(K97-E97)</f>
        <v>-5.7735000000000003</v>
      </c>
      <c r="R97" s="191">
        <f t="shared" ref="R97:R106" si="120">(L97-E97)</f>
        <v>-5.7735000000000003</v>
      </c>
    </row>
    <row r="98" spans="1:18" ht="14.1" customHeight="1">
      <c r="A98" s="560"/>
      <c r="B98" s="85">
        <v>57.734999999999999</v>
      </c>
      <c r="C98" s="7">
        <v>0.1</v>
      </c>
      <c r="D98" s="36">
        <v>1</v>
      </c>
      <c r="E98" s="6">
        <f t="shared" ref="E98:E106" si="121">B98*C98*D98</f>
        <v>5.7735000000000003</v>
      </c>
      <c r="F98" s="96">
        <f t="shared" ref="F98:F106" si="122">B98*C98</f>
        <v>5.7735000000000003</v>
      </c>
      <c r="G98" s="451"/>
      <c r="H98" s="242"/>
      <c r="I98" s="243"/>
      <c r="J98" s="242"/>
      <c r="K98" s="242"/>
      <c r="L98" s="247"/>
      <c r="M98" s="85">
        <f t="shared" si="115"/>
        <v>-5.7735000000000003</v>
      </c>
      <c r="N98" s="6">
        <f t="shared" si="116"/>
        <v>-5.7735000000000003</v>
      </c>
      <c r="O98" s="96">
        <f t="shared" si="117"/>
        <v>-5.7735000000000003</v>
      </c>
      <c r="P98" s="85">
        <f t="shared" si="118"/>
        <v>-5.7735000000000003</v>
      </c>
      <c r="Q98" s="6">
        <f t="shared" si="119"/>
        <v>-5.7735000000000003</v>
      </c>
      <c r="R98" s="96">
        <f t="shared" si="120"/>
        <v>-5.7735000000000003</v>
      </c>
    </row>
    <row r="99" spans="1:18" ht="14.1" customHeight="1">
      <c r="A99" s="560"/>
      <c r="B99" s="85">
        <v>57.734999999999999</v>
      </c>
      <c r="C99" s="7">
        <v>0.1</v>
      </c>
      <c r="D99" s="36">
        <v>1</v>
      </c>
      <c r="E99" s="6">
        <f t="shared" si="121"/>
        <v>5.7735000000000003</v>
      </c>
      <c r="F99" s="96">
        <f t="shared" si="122"/>
        <v>5.7735000000000003</v>
      </c>
      <c r="G99" s="451"/>
      <c r="H99" s="242"/>
      <c r="I99" s="243"/>
      <c r="J99" s="242"/>
      <c r="K99" s="242"/>
      <c r="L99" s="247"/>
      <c r="M99" s="85">
        <f t="shared" si="115"/>
        <v>-5.7735000000000003</v>
      </c>
      <c r="N99" s="6">
        <f t="shared" si="116"/>
        <v>-5.7735000000000003</v>
      </c>
      <c r="O99" s="96">
        <f t="shared" si="117"/>
        <v>-5.7735000000000003</v>
      </c>
      <c r="P99" s="85">
        <f t="shared" si="118"/>
        <v>-5.7735000000000003</v>
      </c>
      <c r="Q99" s="6">
        <f t="shared" si="119"/>
        <v>-5.7735000000000003</v>
      </c>
      <c r="R99" s="96">
        <f t="shared" si="120"/>
        <v>-5.7735000000000003</v>
      </c>
    </row>
    <row r="100" spans="1:18" ht="14.1" customHeight="1">
      <c r="A100" s="560"/>
      <c r="B100" s="85">
        <v>57.734999999999999</v>
      </c>
      <c r="C100" s="7">
        <v>0.1</v>
      </c>
      <c r="D100" s="36">
        <v>1</v>
      </c>
      <c r="E100" s="6">
        <f t="shared" si="121"/>
        <v>5.7735000000000003</v>
      </c>
      <c r="F100" s="96">
        <f t="shared" si="122"/>
        <v>5.7735000000000003</v>
      </c>
      <c r="G100" s="451"/>
      <c r="H100" s="242"/>
      <c r="I100" s="243"/>
      <c r="J100" s="242"/>
      <c r="K100" s="242"/>
      <c r="L100" s="247"/>
      <c r="M100" s="85">
        <f t="shared" si="115"/>
        <v>-5.7735000000000003</v>
      </c>
      <c r="N100" s="6">
        <f t="shared" si="116"/>
        <v>-5.7735000000000003</v>
      </c>
      <c r="O100" s="96">
        <f t="shared" si="117"/>
        <v>-5.7735000000000003</v>
      </c>
      <c r="P100" s="85">
        <f t="shared" si="118"/>
        <v>-5.7735000000000003</v>
      </c>
      <c r="Q100" s="6">
        <f t="shared" si="119"/>
        <v>-5.7735000000000003</v>
      </c>
      <c r="R100" s="96">
        <f t="shared" si="120"/>
        <v>-5.7735000000000003</v>
      </c>
    </row>
    <row r="101" spans="1:18" ht="14.1" customHeight="1">
      <c r="A101" s="560"/>
      <c r="B101" s="85">
        <v>57.734999999999999</v>
      </c>
      <c r="C101" s="7">
        <v>0.1</v>
      </c>
      <c r="D101" s="36">
        <v>1</v>
      </c>
      <c r="E101" s="6">
        <f t="shared" si="121"/>
        <v>5.7735000000000003</v>
      </c>
      <c r="F101" s="96">
        <f t="shared" si="122"/>
        <v>5.7735000000000003</v>
      </c>
      <c r="G101" s="451"/>
      <c r="H101" s="242"/>
      <c r="I101" s="243"/>
      <c r="J101" s="242"/>
      <c r="K101" s="242"/>
      <c r="L101" s="247"/>
      <c r="M101" s="85">
        <f t="shared" si="115"/>
        <v>-5.7735000000000003</v>
      </c>
      <c r="N101" s="6">
        <f t="shared" si="116"/>
        <v>-5.7735000000000003</v>
      </c>
      <c r="O101" s="96">
        <f t="shared" si="117"/>
        <v>-5.7735000000000003</v>
      </c>
      <c r="P101" s="85">
        <f t="shared" si="118"/>
        <v>-5.7735000000000003</v>
      </c>
      <c r="Q101" s="6">
        <f t="shared" si="119"/>
        <v>-5.7735000000000003</v>
      </c>
      <c r="R101" s="96">
        <f t="shared" si="120"/>
        <v>-5.7735000000000003</v>
      </c>
    </row>
    <row r="102" spans="1:18" ht="14.1" customHeight="1">
      <c r="A102" s="560"/>
      <c r="B102" s="85">
        <v>57.734999999999999</v>
      </c>
      <c r="C102" s="7">
        <v>0.1</v>
      </c>
      <c r="D102" s="36">
        <v>1</v>
      </c>
      <c r="E102" s="6">
        <f t="shared" si="121"/>
        <v>5.7735000000000003</v>
      </c>
      <c r="F102" s="96">
        <f t="shared" si="122"/>
        <v>5.7735000000000003</v>
      </c>
      <c r="G102" s="451"/>
      <c r="H102" s="242"/>
      <c r="I102" s="243"/>
      <c r="J102" s="242"/>
      <c r="K102" s="242"/>
      <c r="L102" s="247"/>
      <c r="M102" s="85">
        <f t="shared" si="115"/>
        <v>-5.7735000000000003</v>
      </c>
      <c r="N102" s="6">
        <f t="shared" si="116"/>
        <v>-5.7735000000000003</v>
      </c>
      <c r="O102" s="96">
        <f t="shared" si="117"/>
        <v>-5.7735000000000003</v>
      </c>
      <c r="P102" s="85">
        <f t="shared" si="118"/>
        <v>-5.7735000000000003</v>
      </c>
      <c r="Q102" s="6">
        <f t="shared" si="119"/>
        <v>-5.7735000000000003</v>
      </c>
      <c r="R102" s="96">
        <f t="shared" si="120"/>
        <v>-5.7735000000000003</v>
      </c>
    </row>
    <row r="103" spans="1:18" ht="14.1" customHeight="1">
      <c r="A103" s="560"/>
      <c r="B103" s="85">
        <v>57.734999999999999</v>
      </c>
      <c r="C103" s="7">
        <v>0.1</v>
      </c>
      <c r="D103" s="36">
        <v>1</v>
      </c>
      <c r="E103" s="6">
        <f t="shared" si="121"/>
        <v>5.7735000000000003</v>
      </c>
      <c r="F103" s="96">
        <f t="shared" si="122"/>
        <v>5.7735000000000003</v>
      </c>
      <c r="G103" s="451"/>
      <c r="H103" s="242"/>
      <c r="I103" s="243"/>
      <c r="J103" s="242"/>
      <c r="K103" s="242"/>
      <c r="L103" s="247"/>
      <c r="M103" s="85">
        <f t="shared" si="115"/>
        <v>-5.7735000000000003</v>
      </c>
      <c r="N103" s="6">
        <f t="shared" si="116"/>
        <v>-5.7735000000000003</v>
      </c>
      <c r="O103" s="96">
        <f t="shared" si="117"/>
        <v>-5.7735000000000003</v>
      </c>
      <c r="P103" s="85">
        <f t="shared" si="118"/>
        <v>-5.7735000000000003</v>
      </c>
      <c r="Q103" s="6">
        <f t="shared" si="119"/>
        <v>-5.7735000000000003</v>
      </c>
      <c r="R103" s="96">
        <f t="shared" si="120"/>
        <v>-5.7735000000000003</v>
      </c>
    </row>
    <row r="104" spans="1:18" ht="14.1" customHeight="1">
      <c r="A104" s="560"/>
      <c r="B104" s="85">
        <v>57.734999999999999</v>
      </c>
      <c r="C104" s="7">
        <v>0.1</v>
      </c>
      <c r="D104" s="36">
        <v>1</v>
      </c>
      <c r="E104" s="6">
        <f t="shared" si="121"/>
        <v>5.7735000000000003</v>
      </c>
      <c r="F104" s="96">
        <f t="shared" si="122"/>
        <v>5.7735000000000003</v>
      </c>
      <c r="G104" s="451"/>
      <c r="H104" s="242"/>
      <c r="I104" s="243"/>
      <c r="J104" s="242"/>
      <c r="K104" s="242"/>
      <c r="L104" s="247"/>
      <c r="M104" s="85">
        <f t="shared" si="115"/>
        <v>-5.7735000000000003</v>
      </c>
      <c r="N104" s="6">
        <f t="shared" si="116"/>
        <v>-5.7735000000000003</v>
      </c>
      <c r="O104" s="96">
        <f t="shared" si="117"/>
        <v>-5.7735000000000003</v>
      </c>
      <c r="P104" s="85">
        <f t="shared" si="118"/>
        <v>-5.7735000000000003</v>
      </c>
      <c r="Q104" s="6">
        <f t="shared" si="119"/>
        <v>-5.7735000000000003</v>
      </c>
      <c r="R104" s="96">
        <f t="shared" si="120"/>
        <v>-5.7735000000000003</v>
      </c>
    </row>
    <row r="105" spans="1:18" ht="14.1" customHeight="1">
      <c r="A105" s="560"/>
      <c r="B105" s="85">
        <v>57.734999999999999</v>
      </c>
      <c r="C105" s="7">
        <v>0.1</v>
      </c>
      <c r="D105" s="36">
        <v>1</v>
      </c>
      <c r="E105" s="6">
        <f t="shared" si="121"/>
        <v>5.7735000000000003</v>
      </c>
      <c r="F105" s="96">
        <f t="shared" si="122"/>
        <v>5.7735000000000003</v>
      </c>
      <c r="G105" s="451"/>
      <c r="H105" s="242"/>
      <c r="I105" s="243"/>
      <c r="J105" s="242"/>
      <c r="K105" s="242"/>
      <c r="L105" s="247"/>
      <c r="M105" s="85">
        <f t="shared" si="115"/>
        <v>-5.7735000000000003</v>
      </c>
      <c r="N105" s="6">
        <f t="shared" si="116"/>
        <v>-5.7735000000000003</v>
      </c>
      <c r="O105" s="96">
        <f t="shared" si="117"/>
        <v>-5.7735000000000003</v>
      </c>
      <c r="P105" s="85">
        <f t="shared" si="118"/>
        <v>-5.7735000000000003</v>
      </c>
      <c r="Q105" s="6">
        <f t="shared" si="119"/>
        <v>-5.7735000000000003</v>
      </c>
      <c r="R105" s="96">
        <f t="shared" si="120"/>
        <v>-5.7735000000000003</v>
      </c>
    </row>
    <row r="106" spans="1:18" ht="14.1" customHeight="1" thickBot="1">
      <c r="A106" s="561"/>
      <c r="B106" s="86">
        <v>57.734999999999999</v>
      </c>
      <c r="C106" s="21">
        <v>0.1</v>
      </c>
      <c r="D106" s="87">
        <v>1</v>
      </c>
      <c r="E106" s="17">
        <f t="shared" si="121"/>
        <v>5.7735000000000003</v>
      </c>
      <c r="F106" s="97">
        <f t="shared" si="122"/>
        <v>5.7735000000000003</v>
      </c>
      <c r="G106" s="452"/>
      <c r="H106" s="244"/>
      <c r="I106" s="245"/>
      <c r="J106" s="244"/>
      <c r="K106" s="244"/>
      <c r="L106" s="248"/>
      <c r="M106" s="86">
        <f t="shared" si="115"/>
        <v>-5.7735000000000003</v>
      </c>
      <c r="N106" s="17">
        <f t="shared" si="116"/>
        <v>-5.7735000000000003</v>
      </c>
      <c r="O106" s="97">
        <f t="shared" si="117"/>
        <v>-5.7735000000000003</v>
      </c>
      <c r="P106" s="86">
        <f t="shared" si="118"/>
        <v>-5.7735000000000003</v>
      </c>
      <c r="Q106" s="17">
        <f t="shared" si="119"/>
        <v>-5.7735000000000003</v>
      </c>
      <c r="R106" s="97">
        <f t="shared" si="120"/>
        <v>-5.7735000000000003</v>
      </c>
    </row>
    <row r="107" spans="1:18" ht="14.1" customHeight="1">
      <c r="B107" s="28" t="s">
        <v>14</v>
      </c>
      <c r="C107" s="29" t="s">
        <v>143</v>
      </c>
      <c r="D107" s="30" t="s">
        <v>0</v>
      </c>
      <c r="E107" s="31" t="s">
        <v>157</v>
      </c>
      <c r="F107" s="94" t="s">
        <v>148</v>
      </c>
      <c r="G107" s="423" t="s">
        <v>154</v>
      </c>
      <c r="H107" s="23" t="s">
        <v>155</v>
      </c>
      <c r="I107" s="24" t="s">
        <v>156</v>
      </c>
      <c r="J107" s="23" t="s">
        <v>154</v>
      </c>
      <c r="K107" s="23" t="s">
        <v>155</v>
      </c>
      <c r="L107" s="187" t="s">
        <v>156</v>
      </c>
      <c r="M107" s="99" t="s">
        <v>154</v>
      </c>
      <c r="N107" s="100" t="s">
        <v>155</v>
      </c>
      <c r="O107" s="101" t="s">
        <v>156</v>
      </c>
      <c r="P107" s="99" t="s">
        <v>154</v>
      </c>
      <c r="Q107" s="100" t="s">
        <v>155</v>
      </c>
      <c r="R107" s="101" t="s">
        <v>156</v>
      </c>
    </row>
    <row r="108" spans="1:18" s="1" customFormat="1" ht="14.1" customHeight="1">
      <c r="B108" s="25">
        <f t="shared" ref="B108:F108" si="123">AVERAGE(B110:B119)</f>
        <v>72.168800000000019</v>
      </c>
      <c r="C108" s="26">
        <f t="shared" si="123"/>
        <v>4.9999999999999996E-2</v>
      </c>
      <c r="D108" s="26">
        <f t="shared" si="123"/>
        <v>1</v>
      </c>
      <c r="E108" s="26">
        <f t="shared" si="123"/>
        <v>3.6084400000000008</v>
      </c>
      <c r="F108" s="27">
        <f t="shared" si="123"/>
        <v>3.6084400000000008</v>
      </c>
      <c r="G108" s="195" t="e">
        <f t="shared" ref="G108:N108" si="124">AVERAGE(G110:G119)</f>
        <v>#DIV/0!</v>
      </c>
      <c r="H108" s="26" t="e">
        <f t="shared" si="124"/>
        <v>#DIV/0!</v>
      </c>
      <c r="I108" s="27" t="e">
        <f t="shared" si="124"/>
        <v>#DIV/0!</v>
      </c>
      <c r="J108" s="26" t="e">
        <f t="shared" si="124"/>
        <v>#DIV/0!</v>
      </c>
      <c r="K108" s="26" t="e">
        <f t="shared" si="124"/>
        <v>#DIV/0!</v>
      </c>
      <c r="L108" s="32" t="e">
        <f t="shared" si="124"/>
        <v>#DIV/0!</v>
      </c>
      <c r="M108" s="145">
        <f t="shared" si="124"/>
        <v>-3.6084400000000008</v>
      </c>
      <c r="N108" s="146">
        <f t="shared" si="124"/>
        <v>-3.6084400000000008</v>
      </c>
      <c r="O108" s="147">
        <f>AVERAGE(O110:O119)</f>
        <v>-3.6084400000000008</v>
      </c>
      <c r="P108" s="145">
        <f t="shared" ref="P108" si="125">AVERAGE(P110:P119)</f>
        <v>-3.6084400000000008</v>
      </c>
      <c r="Q108" s="146">
        <f>AVERAGE(Q110:Q119)</f>
        <v>-3.6084400000000008</v>
      </c>
      <c r="R108" s="147">
        <f t="shared" ref="R108" si="126">AVERAGE(R110:R119)</f>
        <v>-3.6084400000000008</v>
      </c>
    </row>
    <row r="109" spans="1:18" s="135" customFormat="1" ht="14.1" customHeight="1" thickBot="1">
      <c r="B109" s="136">
        <f>STDEV(B110:B119)/B108*100</f>
        <v>2.0756277134431945E-14</v>
      </c>
      <c r="C109" s="137">
        <f>STDEV(C110:C119)/C108*100</f>
        <v>1.4628472785736256E-14</v>
      </c>
      <c r="D109" s="137">
        <f>STDEV(D110:D119)/D108*100</f>
        <v>0</v>
      </c>
      <c r="E109" s="137">
        <f>STDEV(E110:E119)/F108*100</f>
        <v>1.2972673209019967E-14</v>
      </c>
      <c r="F109" s="148">
        <f>STDEV(F110:F119)/F108*100</f>
        <v>1.2972673209019967E-14</v>
      </c>
      <c r="G109" s="445" t="e">
        <f>STDEV(G110:G119)/F108*100</f>
        <v>#DIV/0!</v>
      </c>
      <c r="H109" s="141" t="e">
        <f>STDEV(H110:H119)/F108*100</f>
        <v>#DIV/0!</v>
      </c>
      <c r="I109" s="142" t="e">
        <f>STDEV(I110:I119)/F108*100</f>
        <v>#DIV/0!</v>
      </c>
      <c r="J109" s="141" t="e">
        <f>STDEV(J110:J119)/F108*100</f>
        <v>#DIV/0!</v>
      </c>
      <c r="K109" s="141" t="e">
        <f>STDEV(K110:K119)/F108*100</f>
        <v>#DIV/0!</v>
      </c>
      <c r="L109" s="188" t="e">
        <f>STDEV(L110:L119)/F108*100</f>
        <v>#DIV/0!</v>
      </c>
      <c r="M109" s="192">
        <f>100*STDEV(M110:M119)/$F$108</f>
        <v>1.2972673209019965E-14</v>
      </c>
      <c r="N109" s="193">
        <f t="shared" ref="N109:O109" si="127">100*STDEV(N110:N119)/$F$108</f>
        <v>1.2972673209019965E-14</v>
      </c>
      <c r="O109" s="194">
        <f t="shared" si="127"/>
        <v>1.2972673209019965E-14</v>
      </c>
      <c r="P109" s="192">
        <f>100*STDEV(P110:P119)/$F$108</f>
        <v>1.2972673209019965E-14</v>
      </c>
      <c r="Q109" s="193">
        <f t="shared" ref="Q109" si="128">100*STDEV(Q110:Q119)/$F$108</f>
        <v>1.2972673209019965E-14</v>
      </c>
      <c r="R109" s="194">
        <f t="shared" ref="R109" si="129">100*STDEV(R110:R119)/$F$108</f>
        <v>1.2972673209019965E-14</v>
      </c>
    </row>
    <row r="110" spans="1:18" ht="14.1" customHeight="1">
      <c r="A110" s="559" t="s">
        <v>33</v>
      </c>
      <c r="B110" s="89">
        <v>72.168800000000005</v>
      </c>
      <c r="C110" s="88">
        <v>0.05</v>
      </c>
      <c r="D110" s="10">
        <v>1</v>
      </c>
      <c r="E110" s="3">
        <f>B110*C110*D110</f>
        <v>3.6084400000000003</v>
      </c>
      <c r="F110" s="95">
        <f>B110*C110</f>
        <v>3.6084400000000003</v>
      </c>
      <c r="G110" s="450"/>
      <c r="H110" s="240"/>
      <c r="I110" s="241"/>
      <c r="J110" s="240"/>
      <c r="K110" s="240"/>
      <c r="L110" s="246"/>
      <c r="M110" s="189">
        <f t="shared" ref="M110:M119" si="130">(G110-E110)</f>
        <v>-3.6084400000000003</v>
      </c>
      <c r="N110" s="132">
        <f t="shared" ref="N110:N119" si="131">(H110-E110)</f>
        <v>-3.6084400000000003</v>
      </c>
      <c r="O110" s="191">
        <f t="shared" ref="O110:O119" si="132">(I110-E110)</f>
        <v>-3.6084400000000003</v>
      </c>
      <c r="P110" s="189">
        <f t="shared" ref="P110:P119" si="133">(J110-E110)</f>
        <v>-3.6084400000000003</v>
      </c>
      <c r="Q110" s="132">
        <f t="shared" ref="Q110:Q119" si="134">(K110-E110)</f>
        <v>-3.6084400000000003</v>
      </c>
      <c r="R110" s="191">
        <f t="shared" ref="R110:R119" si="135">(L110-E110)</f>
        <v>-3.6084400000000003</v>
      </c>
    </row>
    <row r="111" spans="1:18" ht="14.1" customHeight="1">
      <c r="A111" s="560"/>
      <c r="B111" s="90">
        <v>72.168800000000005</v>
      </c>
      <c r="C111" s="35">
        <v>0.05</v>
      </c>
      <c r="D111" s="36">
        <v>1</v>
      </c>
      <c r="E111" s="6">
        <f t="shared" ref="E111:E119" si="136">B111*C111*D111</f>
        <v>3.6084400000000003</v>
      </c>
      <c r="F111" s="96">
        <f t="shared" ref="F111:F119" si="137">B111*C111</f>
        <v>3.6084400000000003</v>
      </c>
      <c r="G111" s="451"/>
      <c r="H111" s="242"/>
      <c r="I111" s="243"/>
      <c r="J111" s="242"/>
      <c r="K111" s="242"/>
      <c r="L111" s="247"/>
      <c r="M111" s="85">
        <f t="shared" si="130"/>
        <v>-3.6084400000000003</v>
      </c>
      <c r="N111" s="6">
        <f t="shared" si="131"/>
        <v>-3.6084400000000003</v>
      </c>
      <c r="O111" s="96">
        <f t="shared" si="132"/>
        <v>-3.6084400000000003</v>
      </c>
      <c r="P111" s="85">
        <f t="shared" si="133"/>
        <v>-3.6084400000000003</v>
      </c>
      <c r="Q111" s="6">
        <f t="shared" si="134"/>
        <v>-3.6084400000000003</v>
      </c>
      <c r="R111" s="96">
        <f t="shared" si="135"/>
        <v>-3.6084400000000003</v>
      </c>
    </row>
    <row r="112" spans="1:18" ht="14.1" customHeight="1">
      <c r="A112" s="560"/>
      <c r="B112" s="90">
        <v>72.168800000000005</v>
      </c>
      <c r="C112" s="35">
        <v>0.05</v>
      </c>
      <c r="D112" s="36">
        <v>1</v>
      </c>
      <c r="E112" s="6">
        <f t="shared" si="136"/>
        <v>3.6084400000000003</v>
      </c>
      <c r="F112" s="96">
        <f t="shared" si="137"/>
        <v>3.6084400000000003</v>
      </c>
      <c r="G112" s="451"/>
      <c r="H112" s="242"/>
      <c r="I112" s="243"/>
      <c r="J112" s="242"/>
      <c r="K112" s="242"/>
      <c r="L112" s="247"/>
      <c r="M112" s="85">
        <f t="shared" si="130"/>
        <v>-3.6084400000000003</v>
      </c>
      <c r="N112" s="6">
        <f t="shared" si="131"/>
        <v>-3.6084400000000003</v>
      </c>
      <c r="O112" s="96">
        <f t="shared" si="132"/>
        <v>-3.6084400000000003</v>
      </c>
      <c r="P112" s="85">
        <f t="shared" si="133"/>
        <v>-3.6084400000000003</v>
      </c>
      <c r="Q112" s="6">
        <f t="shared" si="134"/>
        <v>-3.6084400000000003</v>
      </c>
      <c r="R112" s="96">
        <f t="shared" si="135"/>
        <v>-3.6084400000000003</v>
      </c>
    </row>
    <row r="113" spans="1:18" ht="14.1" customHeight="1">
      <c r="A113" s="560"/>
      <c r="B113" s="90">
        <v>72.168800000000005</v>
      </c>
      <c r="C113" s="35">
        <v>0.05</v>
      </c>
      <c r="D113" s="36">
        <v>1</v>
      </c>
      <c r="E113" s="6">
        <f t="shared" si="136"/>
        <v>3.6084400000000003</v>
      </c>
      <c r="F113" s="96">
        <f t="shared" si="137"/>
        <v>3.6084400000000003</v>
      </c>
      <c r="G113" s="451"/>
      <c r="H113" s="242"/>
      <c r="I113" s="243"/>
      <c r="J113" s="242"/>
      <c r="K113" s="242"/>
      <c r="L113" s="247"/>
      <c r="M113" s="85">
        <f t="shared" si="130"/>
        <v>-3.6084400000000003</v>
      </c>
      <c r="N113" s="6">
        <f t="shared" si="131"/>
        <v>-3.6084400000000003</v>
      </c>
      <c r="O113" s="96">
        <f t="shared" si="132"/>
        <v>-3.6084400000000003</v>
      </c>
      <c r="P113" s="85">
        <f t="shared" si="133"/>
        <v>-3.6084400000000003</v>
      </c>
      <c r="Q113" s="6">
        <f t="shared" si="134"/>
        <v>-3.6084400000000003</v>
      </c>
      <c r="R113" s="96">
        <f t="shared" si="135"/>
        <v>-3.6084400000000003</v>
      </c>
    </row>
    <row r="114" spans="1:18" ht="14.1" customHeight="1">
      <c r="A114" s="560"/>
      <c r="B114" s="90">
        <v>72.168800000000005</v>
      </c>
      <c r="C114" s="35">
        <v>0.05</v>
      </c>
      <c r="D114" s="36">
        <v>1</v>
      </c>
      <c r="E114" s="6">
        <f t="shared" si="136"/>
        <v>3.6084400000000003</v>
      </c>
      <c r="F114" s="96">
        <f t="shared" si="137"/>
        <v>3.6084400000000003</v>
      </c>
      <c r="G114" s="451"/>
      <c r="H114" s="242"/>
      <c r="I114" s="243"/>
      <c r="J114" s="242"/>
      <c r="K114" s="242"/>
      <c r="L114" s="247"/>
      <c r="M114" s="85">
        <f t="shared" si="130"/>
        <v>-3.6084400000000003</v>
      </c>
      <c r="N114" s="6">
        <f t="shared" si="131"/>
        <v>-3.6084400000000003</v>
      </c>
      <c r="O114" s="96">
        <f t="shared" si="132"/>
        <v>-3.6084400000000003</v>
      </c>
      <c r="P114" s="85">
        <f t="shared" si="133"/>
        <v>-3.6084400000000003</v>
      </c>
      <c r="Q114" s="6">
        <f t="shared" si="134"/>
        <v>-3.6084400000000003</v>
      </c>
      <c r="R114" s="96">
        <f t="shared" si="135"/>
        <v>-3.6084400000000003</v>
      </c>
    </row>
    <row r="115" spans="1:18" ht="14.1" customHeight="1">
      <c r="A115" s="560"/>
      <c r="B115" s="90">
        <v>72.168800000000005</v>
      </c>
      <c r="C115" s="35">
        <v>0.05</v>
      </c>
      <c r="D115" s="36">
        <v>1</v>
      </c>
      <c r="E115" s="6">
        <f t="shared" si="136"/>
        <v>3.6084400000000003</v>
      </c>
      <c r="F115" s="96">
        <f t="shared" si="137"/>
        <v>3.6084400000000003</v>
      </c>
      <c r="G115" s="451"/>
      <c r="H115" s="242"/>
      <c r="I115" s="243"/>
      <c r="J115" s="242"/>
      <c r="K115" s="242"/>
      <c r="L115" s="247"/>
      <c r="M115" s="85">
        <f t="shared" si="130"/>
        <v>-3.6084400000000003</v>
      </c>
      <c r="N115" s="6">
        <f t="shared" si="131"/>
        <v>-3.6084400000000003</v>
      </c>
      <c r="O115" s="96">
        <f t="shared" si="132"/>
        <v>-3.6084400000000003</v>
      </c>
      <c r="P115" s="85">
        <f t="shared" si="133"/>
        <v>-3.6084400000000003</v>
      </c>
      <c r="Q115" s="6">
        <f t="shared" si="134"/>
        <v>-3.6084400000000003</v>
      </c>
      <c r="R115" s="96">
        <f t="shared" si="135"/>
        <v>-3.6084400000000003</v>
      </c>
    </row>
    <row r="116" spans="1:18" ht="14.1" customHeight="1">
      <c r="A116" s="560"/>
      <c r="B116" s="90">
        <v>72.168800000000005</v>
      </c>
      <c r="C116" s="35">
        <v>0.05</v>
      </c>
      <c r="D116" s="36">
        <v>1</v>
      </c>
      <c r="E116" s="6">
        <f t="shared" si="136"/>
        <v>3.6084400000000003</v>
      </c>
      <c r="F116" s="96">
        <f t="shared" si="137"/>
        <v>3.6084400000000003</v>
      </c>
      <c r="G116" s="451"/>
      <c r="H116" s="242"/>
      <c r="I116" s="243"/>
      <c r="J116" s="242"/>
      <c r="K116" s="242"/>
      <c r="L116" s="247"/>
      <c r="M116" s="85">
        <f t="shared" si="130"/>
        <v>-3.6084400000000003</v>
      </c>
      <c r="N116" s="6">
        <f t="shared" si="131"/>
        <v>-3.6084400000000003</v>
      </c>
      <c r="O116" s="96">
        <f t="shared" si="132"/>
        <v>-3.6084400000000003</v>
      </c>
      <c r="P116" s="85">
        <f t="shared" si="133"/>
        <v>-3.6084400000000003</v>
      </c>
      <c r="Q116" s="6">
        <f t="shared" si="134"/>
        <v>-3.6084400000000003</v>
      </c>
      <c r="R116" s="96">
        <f t="shared" si="135"/>
        <v>-3.6084400000000003</v>
      </c>
    </row>
    <row r="117" spans="1:18" ht="14.1" customHeight="1">
      <c r="A117" s="560"/>
      <c r="B117" s="90">
        <v>72.168800000000005</v>
      </c>
      <c r="C117" s="35">
        <v>0.05</v>
      </c>
      <c r="D117" s="36">
        <v>1</v>
      </c>
      <c r="E117" s="6">
        <f t="shared" si="136"/>
        <v>3.6084400000000003</v>
      </c>
      <c r="F117" s="96">
        <f t="shared" si="137"/>
        <v>3.6084400000000003</v>
      </c>
      <c r="G117" s="451"/>
      <c r="H117" s="242"/>
      <c r="I117" s="243"/>
      <c r="J117" s="242"/>
      <c r="K117" s="242"/>
      <c r="L117" s="247"/>
      <c r="M117" s="85">
        <f t="shared" si="130"/>
        <v>-3.6084400000000003</v>
      </c>
      <c r="N117" s="6">
        <f t="shared" si="131"/>
        <v>-3.6084400000000003</v>
      </c>
      <c r="O117" s="96">
        <f t="shared" si="132"/>
        <v>-3.6084400000000003</v>
      </c>
      <c r="P117" s="85">
        <f t="shared" si="133"/>
        <v>-3.6084400000000003</v>
      </c>
      <c r="Q117" s="6">
        <f t="shared" si="134"/>
        <v>-3.6084400000000003</v>
      </c>
      <c r="R117" s="96">
        <f t="shared" si="135"/>
        <v>-3.6084400000000003</v>
      </c>
    </row>
    <row r="118" spans="1:18" ht="14.1" customHeight="1">
      <c r="A118" s="560"/>
      <c r="B118" s="90">
        <v>72.168800000000005</v>
      </c>
      <c r="C118" s="35">
        <v>0.05</v>
      </c>
      <c r="D118" s="36">
        <v>1</v>
      </c>
      <c r="E118" s="6">
        <f t="shared" si="136"/>
        <v>3.6084400000000003</v>
      </c>
      <c r="F118" s="96">
        <f t="shared" si="137"/>
        <v>3.6084400000000003</v>
      </c>
      <c r="G118" s="451"/>
      <c r="H118" s="242"/>
      <c r="I118" s="243"/>
      <c r="J118" s="242"/>
      <c r="K118" s="242"/>
      <c r="L118" s="247"/>
      <c r="M118" s="85">
        <f t="shared" si="130"/>
        <v>-3.6084400000000003</v>
      </c>
      <c r="N118" s="6">
        <f t="shared" si="131"/>
        <v>-3.6084400000000003</v>
      </c>
      <c r="O118" s="96">
        <f t="shared" si="132"/>
        <v>-3.6084400000000003</v>
      </c>
      <c r="P118" s="85">
        <f t="shared" si="133"/>
        <v>-3.6084400000000003</v>
      </c>
      <c r="Q118" s="6">
        <f t="shared" si="134"/>
        <v>-3.6084400000000003</v>
      </c>
      <c r="R118" s="96">
        <f t="shared" si="135"/>
        <v>-3.6084400000000003</v>
      </c>
    </row>
    <row r="119" spans="1:18" ht="14.1" customHeight="1" thickBot="1">
      <c r="A119" s="561"/>
      <c r="B119" s="37">
        <v>72.168800000000005</v>
      </c>
      <c r="C119" s="38">
        <v>0.05</v>
      </c>
      <c r="D119" s="87">
        <v>1</v>
      </c>
      <c r="E119" s="17">
        <f t="shared" si="136"/>
        <v>3.6084400000000003</v>
      </c>
      <c r="F119" s="97">
        <f t="shared" si="137"/>
        <v>3.6084400000000003</v>
      </c>
      <c r="G119" s="452"/>
      <c r="H119" s="244"/>
      <c r="I119" s="245"/>
      <c r="J119" s="244"/>
      <c r="K119" s="244"/>
      <c r="L119" s="248"/>
      <c r="M119" s="86">
        <f t="shared" si="130"/>
        <v>-3.6084400000000003</v>
      </c>
      <c r="N119" s="17">
        <f t="shared" si="131"/>
        <v>-3.6084400000000003</v>
      </c>
      <c r="O119" s="97">
        <f t="shared" si="132"/>
        <v>-3.6084400000000003</v>
      </c>
      <c r="P119" s="86">
        <f t="shared" si="133"/>
        <v>-3.6084400000000003</v>
      </c>
      <c r="Q119" s="17">
        <f t="shared" si="134"/>
        <v>-3.6084400000000003</v>
      </c>
      <c r="R119" s="97">
        <f t="shared" si="135"/>
        <v>-3.6084400000000003</v>
      </c>
    </row>
  </sheetData>
  <mergeCells count="14">
    <mergeCell ref="A32:A41"/>
    <mergeCell ref="B2:F2"/>
    <mergeCell ref="G2:I2"/>
    <mergeCell ref="A110:A119"/>
    <mergeCell ref="A45:A54"/>
    <mergeCell ref="A58:A67"/>
    <mergeCell ref="A71:A80"/>
    <mergeCell ref="A84:A93"/>
    <mergeCell ref="A97:A106"/>
    <mergeCell ref="J2:L2"/>
    <mergeCell ref="M2:O2"/>
    <mergeCell ref="P2:R2"/>
    <mergeCell ref="A6:A15"/>
    <mergeCell ref="A19:A28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ayfa4">
    <tabColor rgb="FF92D050"/>
  </sheetPr>
  <dimension ref="B1:CC137"/>
  <sheetViews>
    <sheetView zoomScale="70" zoomScaleNormal="70" workbookViewId="0">
      <selection activeCell="CA4" sqref="CA4"/>
    </sheetView>
  </sheetViews>
  <sheetFormatPr defaultRowHeight="14.4"/>
  <cols>
    <col min="1" max="1" width="6.88671875" customWidth="1"/>
    <col min="2" max="2" width="9.5546875" customWidth="1"/>
    <col min="3" max="3" width="19.33203125" bestFit="1" customWidth="1"/>
    <col min="4" max="81" width="9.6640625" customWidth="1"/>
  </cols>
  <sheetData>
    <row r="1" spans="2:81" s="43" customFormat="1" ht="25.5" customHeight="1" thickBot="1"/>
    <row r="2" spans="2:81" ht="20.25" customHeight="1" thickBot="1">
      <c r="D2" s="583" t="s">
        <v>2</v>
      </c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5"/>
      <c r="AN2" s="586" t="s">
        <v>3</v>
      </c>
      <c r="AO2" s="587"/>
      <c r="AP2" s="587"/>
      <c r="AQ2" s="587"/>
      <c r="AR2" s="587"/>
      <c r="AS2" s="587"/>
      <c r="AT2" s="587"/>
      <c r="AU2" s="587"/>
      <c r="AV2" s="587"/>
      <c r="AW2" s="587"/>
      <c r="AX2" s="587"/>
      <c r="AY2" s="587"/>
      <c r="AZ2" s="587"/>
      <c r="BA2" s="587"/>
      <c r="BB2" s="587"/>
      <c r="BC2" s="587"/>
      <c r="BD2" s="587"/>
      <c r="BE2" s="587"/>
      <c r="BF2" s="587"/>
      <c r="BG2" s="587"/>
      <c r="BH2" s="587"/>
      <c r="BI2" s="587"/>
      <c r="BJ2" s="587"/>
      <c r="BK2" s="587"/>
      <c r="BL2" s="587"/>
      <c r="BM2" s="587"/>
      <c r="BN2" s="587"/>
      <c r="BO2" s="587"/>
      <c r="BP2" s="587"/>
      <c r="BQ2" s="587"/>
      <c r="BR2" s="587"/>
      <c r="BS2" s="587"/>
      <c r="BT2" s="587"/>
      <c r="BU2" s="587"/>
      <c r="BV2" s="587"/>
      <c r="BW2" s="588"/>
      <c r="BX2" s="589" t="s">
        <v>138</v>
      </c>
      <c r="BY2" s="589"/>
      <c r="BZ2" s="590"/>
      <c r="CA2" s="589" t="s">
        <v>139</v>
      </c>
      <c r="CB2" s="589"/>
      <c r="CC2" s="590"/>
    </row>
    <row r="3" spans="2:81" s="42" customFormat="1" ht="19.2" customHeight="1" thickBot="1">
      <c r="B3" s="453"/>
      <c r="C3" s="454" t="s">
        <v>124</v>
      </c>
      <c r="D3" s="579" t="s">
        <v>4</v>
      </c>
      <c r="E3" s="580"/>
      <c r="F3" s="581"/>
      <c r="G3" s="582" t="s">
        <v>5</v>
      </c>
      <c r="H3" s="580"/>
      <c r="I3" s="581"/>
      <c r="J3" s="582" t="s">
        <v>6</v>
      </c>
      <c r="K3" s="580"/>
      <c r="L3" s="581"/>
      <c r="M3" s="582" t="s">
        <v>7</v>
      </c>
      <c r="N3" s="580"/>
      <c r="O3" s="581"/>
      <c r="P3" s="582" t="s">
        <v>8</v>
      </c>
      <c r="Q3" s="580"/>
      <c r="R3" s="581"/>
      <c r="S3" s="580" t="s">
        <v>115</v>
      </c>
      <c r="T3" s="580"/>
      <c r="U3" s="581"/>
      <c r="V3" s="582" t="s">
        <v>116</v>
      </c>
      <c r="W3" s="580"/>
      <c r="X3" s="581"/>
      <c r="Y3" s="582" t="s">
        <v>117</v>
      </c>
      <c r="Z3" s="580"/>
      <c r="AA3" s="581"/>
      <c r="AB3" s="582" t="s">
        <v>118</v>
      </c>
      <c r="AC3" s="580"/>
      <c r="AD3" s="581"/>
      <c r="AE3" s="582" t="s">
        <v>119</v>
      </c>
      <c r="AF3" s="580"/>
      <c r="AG3" s="580"/>
      <c r="AH3" s="593" t="s">
        <v>9</v>
      </c>
      <c r="AI3" s="594"/>
      <c r="AJ3" s="595"/>
      <c r="AK3" s="593" t="s">
        <v>162</v>
      </c>
      <c r="AL3" s="594"/>
      <c r="AM3" s="595"/>
      <c r="AN3" s="579" t="s">
        <v>4</v>
      </c>
      <c r="AO3" s="580"/>
      <c r="AP3" s="581"/>
      <c r="AQ3" s="582" t="s">
        <v>5</v>
      </c>
      <c r="AR3" s="580"/>
      <c r="AS3" s="581"/>
      <c r="AT3" s="582" t="s">
        <v>6</v>
      </c>
      <c r="AU3" s="580"/>
      <c r="AV3" s="581"/>
      <c r="AW3" s="582" t="s">
        <v>7</v>
      </c>
      <c r="AX3" s="580"/>
      <c r="AY3" s="581"/>
      <c r="AZ3" s="582" t="s">
        <v>8</v>
      </c>
      <c r="BA3" s="580"/>
      <c r="BB3" s="580"/>
      <c r="BC3" s="580" t="s">
        <v>115</v>
      </c>
      <c r="BD3" s="580"/>
      <c r="BE3" s="581"/>
      <c r="BF3" s="582" t="s">
        <v>116</v>
      </c>
      <c r="BG3" s="580"/>
      <c r="BH3" s="581"/>
      <c r="BI3" s="582" t="s">
        <v>117</v>
      </c>
      <c r="BJ3" s="580"/>
      <c r="BK3" s="581"/>
      <c r="BL3" s="582" t="s">
        <v>118</v>
      </c>
      <c r="BM3" s="580"/>
      <c r="BN3" s="581"/>
      <c r="BO3" s="582" t="s">
        <v>119</v>
      </c>
      <c r="BP3" s="580"/>
      <c r="BQ3" s="580"/>
      <c r="BR3" s="593" t="s">
        <v>9</v>
      </c>
      <c r="BS3" s="594"/>
      <c r="BT3" s="595"/>
      <c r="BU3" s="593" t="s">
        <v>162</v>
      </c>
      <c r="BV3" s="594"/>
      <c r="BW3" s="595"/>
      <c r="BX3" s="591"/>
      <c r="BY3" s="591"/>
      <c r="BZ3" s="592"/>
      <c r="CA3" s="591"/>
      <c r="CB3" s="591"/>
      <c r="CC3" s="592"/>
    </row>
    <row r="4" spans="2:81" s="43" customFormat="1" ht="24" customHeight="1" thickBot="1">
      <c r="B4" s="63" t="s">
        <v>10</v>
      </c>
      <c r="C4" s="64" t="s">
        <v>11</v>
      </c>
      <c r="D4" s="69" t="s">
        <v>144</v>
      </c>
      <c r="E4" s="59" t="s">
        <v>145</v>
      </c>
      <c r="F4" s="59" t="s">
        <v>146</v>
      </c>
      <c r="G4" s="69" t="s">
        <v>144</v>
      </c>
      <c r="H4" s="59" t="s">
        <v>145</v>
      </c>
      <c r="I4" s="59" t="s">
        <v>146</v>
      </c>
      <c r="J4" s="69" t="s">
        <v>144</v>
      </c>
      <c r="K4" s="59" t="s">
        <v>145</v>
      </c>
      <c r="L4" s="59" t="s">
        <v>146</v>
      </c>
      <c r="M4" s="69" t="s">
        <v>144</v>
      </c>
      <c r="N4" s="59" t="s">
        <v>145</v>
      </c>
      <c r="O4" s="59" t="s">
        <v>146</v>
      </c>
      <c r="P4" s="69" t="s">
        <v>144</v>
      </c>
      <c r="Q4" s="59" t="s">
        <v>145</v>
      </c>
      <c r="R4" s="59" t="s">
        <v>146</v>
      </c>
      <c r="S4" s="69" t="s">
        <v>144</v>
      </c>
      <c r="T4" s="59" t="s">
        <v>145</v>
      </c>
      <c r="U4" s="59" t="s">
        <v>146</v>
      </c>
      <c r="V4" s="69" t="s">
        <v>144</v>
      </c>
      <c r="W4" s="59" t="s">
        <v>145</v>
      </c>
      <c r="X4" s="59" t="s">
        <v>146</v>
      </c>
      <c r="Y4" s="69" t="s">
        <v>144</v>
      </c>
      <c r="Z4" s="59" t="s">
        <v>145</v>
      </c>
      <c r="AA4" s="59" t="s">
        <v>146</v>
      </c>
      <c r="AB4" s="69" t="s">
        <v>144</v>
      </c>
      <c r="AC4" s="59" t="s">
        <v>145</v>
      </c>
      <c r="AD4" s="59" t="s">
        <v>146</v>
      </c>
      <c r="AE4" s="69" t="s">
        <v>144</v>
      </c>
      <c r="AF4" s="59" t="s">
        <v>145</v>
      </c>
      <c r="AG4" s="126" t="s">
        <v>146</v>
      </c>
      <c r="AH4" s="58" t="s">
        <v>144</v>
      </c>
      <c r="AI4" s="59" t="s">
        <v>145</v>
      </c>
      <c r="AJ4" s="60" t="s">
        <v>146</v>
      </c>
      <c r="AK4" s="45" t="s">
        <v>165</v>
      </c>
      <c r="AL4" s="46" t="s">
        <v>166</v>
      </c>
      <c r="AM4" s="47" t="s">
        <v>167</v>
      </c>
      <c r="AN4" s="69" t="s">
        <v>144</v>
      </c>
      <c r="AO4" s="59" t="s">
        <v>145</v>
      </c>
      <c r="AP4" s="59" t="s">
        <v>146</v>
      </c>
      <c r="AQ4" s="69" t="s">
        <v>144</v>
      </c>
      <c r="AR4" s="59" t="s">
        <v>145</v>
      </c>
      <c r="AS4" s="59" t="s">
        <v>146</v>
      </c>
      <c r="AT4" s="69" t="s">
        <v>144</v>
      </c>
      <c r="AU4" s="59" t="s">
        <v>145</v>
      </c>
      <c r="AV4" s="59" t="s">
        <v>146</v>
      </c>
      <c r="AW4" s="69" t="s">
        <v>144</v>
      </c>
      <c r="AX4" s="59" t="s">
        <v>145</v>
      </c>
      <c r="AY4" s="59" t="s">
        <v>146</v>
      </c>
      <c r="AZ4" s="69" t="s">
        <v>144</v>
      </c>
      <c r="BA4" s="59" t="s">
        <v>145</v>
      </c>
      <c r="BB4" s="59" t="s">
        <v>146</v>
      </c>
      <c r="BC4" s="69" t="s">
        <v>144</v>
      </c>
      <c r="BD4" s="59" t="s">
        <v>145</v>
      </c>
      <c r="BE4" s="59" t="s">
        <v>146</v>
      </c>
      <c r="BF4" s="69" t="s">
        <v>144</v>
      </c>
      <c r="BG4" s="59" t="s">
        <v>145</v>
      </c>
      <c r="BH4" s="59" t="s">
        <v>146</v>
      </c>
      <c r="BI4" s="69" t="s">
        <v>144</v>
      </c>
      <c r="BJ4" s="59" t="s">
        <v>145</v>
      </c>
      <c r="BK4" s="59" t="s">
        <v>146</v>
      </c>
      <c r="BL4" s="69" t="s">
        <v>144</v>
      </c>
      <c r="BM4" s="59" t="s">
        <v>145</v>
      </c>
      <c r="BN4" s="59" t="s">
        <v>146</v>
      </c>
      <c r="BO4" s="69" t="s">
        <v>144</v>
      </c>
      <c r="BP4" s="59" t="s">
        <v>145</v>
      </c>
      <c r="BQ4" s="126" t="s">
        <v>146</v>
      </c>
      <c r="BR4" s="58" t="s">
        <v>144</v>
      </c>
      <c r="BS4" s="59" t="s">
        <v>145</v>
      </c>
      <c r="BT4" s="60" t="s">
        <v>146</v>
      </c>
      <c r="BU4" s="45" t="s">
        <v>165</v>
      </c>
      <c r="BV4" s="46" t="s">
        <v>166</v>
      </c>
      <c r="BW4" s="47" t="s">
        <v>167</v>
      </c>
      <c r="BX4" s="130" t="s">
        <v>140</v>
      </c>
      <c r="BY4" s="65" t="s">
        <v>141</v>
      </c>
      <c r="BZ4" s="66" t="s">
        <v>142</v>
      </c>
      <c r="CA4" s="130" t="s">
        <v>140</v>
      </c>
      <c r="CB4" s="65" t="s">
        <v>141</v>
      </c>
      <c r="CC4" s="66" t="s">
        <v>142</v>
      </c>
    </row>
    <row r="5" spans="2:81" ht="15" customHeight="1">
      <c r="B5" s="61">
        <v>1</v>
      </c>
      <c r="C5" s="62">
        <v>2.2999999999999998</v>
      </c>
      <c r="D5" s="1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399"/>
      <c r="AH5" s="127" t="e">
        <f>AVERAGE(D5,G5,J5,M5,P5,S5,V5,Y5,AB5,AE5)</f>
        <v>#DIV/0!</v>
      </c>
      <c r="AI5" s="52" t="e">
        <f>AVERAGE(E5,H5,K5,N5,Q5,T5,W5,Z5,AC5,AF5)</f>
        <v>#DIV/0!</v>
      </c>
      <c r="AJ5" s="53" t="e">
        <f>AVERAGE(F5,I5,L5,O5,R5,U5,X5,AA5,AD5,AG5)</f>
        <v>#DIV/0!</v>
      </c>
      <c r="AK5" s="392" t="e">
        <f>100*STDEV(D5,G5,J5,M5,P5,S5,V5,Y5,AB5,AE5)/$C$5</f>
        <v>#DIV/0!</v>
      </c>
      <c r="AL5" s="52" t="e">
        <f>100*STDEV(E5,H5,K5,N5,Q5,T5,W5,Z5,AC5,AF5)/$C$5</f>
        <v>#DIV/0!</v>
      </c>
      <c r="AM5" s="53" t="e">
        <f>100*STDEV(F5,I5,L5,O5,R5,U5,X5,AA5,AD5,AG5)/$C$5</f>
        <v>#DIV/0!</v>
      </c>
      <c r="AN5" s="67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303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399"/>
      <c r="BR5" s="127" t="e">
        <f>AVERAGE(AN5,AQ5,AT5,AW5,AZ5,BC5,BF5,BI5,BL5,BO5)</f>
        <v>#DIV/0!</v>
      </c>
      <c r="BS5" s="52" t="e">
        <f>AVERAGE(AO5,AR5,AU5,AX5,BA5,BD5,BG5,BJ5,BM5,BP5)</f>
        <v>#DIV/0!</v>
      </c>
      <c r="BT5" s="53" t="e">
        <f>AVERAGE(AP5,AS5,AV5,AY5,BB5,BE5,BH5,BK5,BN5,BQ5)</f>
        <v>#DIV/0!</v>
      </c>
      <c r="BU5" s="392" t="e">
        <f>100*STDEV(AN5,AQ5,AT5,AW5,AZ5,BC5,BF5,BI5,BL5,BO5)/$C$5</f>
        <v>#DIV/0!</v>
      </c>
      <c r="BV5" s="52" t="e">
        <f>100*STDEV(AO5,AR5,AU5,AX5,BA5,BD5,BG5,BJ5,BM5,BP5)/$C$5</f>
        <v>#DIV/0!</v>
      </c>
      <c r="BW5" s="53" t="e">
        <f>100*STDEV(AP5,AS5,AV5,AY5,BB5,BE5,BH5,BK5,BN5,BQ5)/$C$5</f>
        <v>#DIV/0!</v>
      </c>
      <c r="BX5" s="163" t="e">
        <f>(AH5-C5)*1000</f>
        <v>#DIV/0!</v>
      </c>
      <c r="BY5" s="161" t="e">
        <f t="shared" ref="BY5:BY36" si="0">(AI5-C5)*1000</f>
        <v>#DIV/0!</v>
      </c>
      <c r="BZ5" s="162" t="e">
        <f t="shared" ref="BZ5:BZ36" si="1">(AJ5-C5)*1000</f>
        <v>#DIV/0!</v>
      </c>
      <c r="CA5" s="160" t="e">
        <f t="shared" ref="CA5:CA36" si="2">(BR5-C5)*1000</f>
        <v>#DIV/0!</v>
      </c>
      <c r="CB5" s="161" t="e">
        <f t="shared" ref="CB5:CB36" si="3">(BS5-C5)*1000</f>
        <v>#DIV/0!</v>
      </c>
      <c r="CC5" s="162" t="e">
        <f t="shared" ref="CC5:CC36" si="4">(BT5-C5)*1000</f>
        <v>#DIV/0!</v>
      </c>
    </row>
    <row r="6" spans="2:81" ht="15" customHeight="1">
      <c r="B6" s="50">
        <v>2</v>
      </c>
      <c r="C6" s="48">
        <v>1.08</v>
      </c>
      <c r="D6" s="4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256"/>
      <c r="AH6" s="128" t="e">
        <f t="shared" ref="AH6:AH54" si="5">AVERAGE(D6,G6,J6,M6,P6,S6,V6,Y6,AB6,AE6)</f>
        <v>#DIV/0!</v>
      </c>
      <c r="AI6" s="54" t="e">
        <f t="shared" ref="AI6:AI54" si="6">AVERAGE(E6,H6,K6,N6,Q6,T6,W6,Z6,AC6,AF6)</f>
        <v>#DIV/0!</v>
      </c>
      <c r="AJ6" s="55" t="e">
        <f t="shared" ref="AJ6:AJ54" si="7">AVERAGE(F6,I6,L6,O6,R6,U6,X6,AA6,AD6,AG6)</f>
        <v>#DIV/0!</v>
      </c>
      <c r="AK6" s="344" t="e">
        <f>100*STDEV(D6,G6,J6,M6,P6,S6,V6,Y6,AB6,AE6)/$C$6</f>
        <v>#DIV/0!</v>
      </c>
      <c r="AL6" s="54" t="e">
        <f>100*STDEV(E6,H6,K6,N6,Q6,T6,W6,Z6,AC6,AF6)/$C$6</f>
        <v>#DIV/0!</v>
      </c>
      <c r="AM6" s="55" t="e">
        <f>100*STDEV(F6,I6,L6,O6,R6,U6,X6,AA6,AD6,AG6)/$C$6</f>
        <v>#DIV/0!</v>
      </c>
      <c r="AN6" s="44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256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256"/>
      <c r="BR6" s="128" t="e">
        <f t="shared" ref="BR6:BR54" si="8">AVERAGE(AN6,AQ6,AT6,AW6,AZ6,BC6,BF6,BI6,BL6,BO6)</f>
        <v>#DIV/0!</v>
      </c>
      <c r="BS6" s="54" t="e">
        <f t="shared" ref="BS6:BS54" si="9">AVERAGE(AO6,AR6,AU6,AX6,BA6,BD6,BG6,BJ6,BM6,BP6)</f>
        <v>#DIV/0!</v>
      </c>
      <c r="BT6" s="55" t="e">
        <f t="shared" ref="BT6:BT54" si="10">AVERAGE(AP6,AS6,AV6,AY6,BB6,BE6,BH6,BK6,BN6,BQ6)</f>
        <v>#DIV/0!</v>
      </c>
      <c r="BU6" s="344" t="e">
        <f>100*STDEV(AN6,AQ6,AT6,AW6,AZ6,BC6,BF6,BI6,BL6,BO6)/$C$6</f>
        <v>#DIV/0!</v>
      </c>
      <c r="BV6" s="54" t="e">
        <f>100*STDEV(AO6,AR6,AU6,AX6,BA6,BD6,BG6,BJ6,BM6,BP6)/$C$6</f>
        <v>#DIV/0!</v>
      </c>
      <c r="BW6" s="55" t="e">
        <f>100*STDEV(AP6,AS6,AV6,AY6,BB6,BE6,BH6,BK6,BN6,BQ6)/$C$6</f>
        <v>#DIV/0!</v>
      </c>
      <c r="BX6" s="167" t="e">
        <f t="shared" ref="BX6:BX36" si="11">(AH6-C6)*1000</f>
        <v>#DIV/0!</v>
      </c>
      <c r="BY6" s="165" t="e">
        <f t="shared" si="0"/>
        <v>#DIV/0!</v>
      </c>
      <c r="BZ6" s="166" t="e">
        <f t="shared" si="1"/>
        <v>#DIV/0!</v>
      </c>
      <c r="CA6" s="164" t="e">
        <f t="shared" si="2"/>
        <v>#DIV/0!</v>
      </c>
      <c r="CB6" s="165" t="e">
        <f t="shared" si="3"/>
        <v>#DIV/0!</v>
      </c>
      <c r="CC6" s="166" t="e">
        <f t="shared" si="4"/>
        <v>#DIV/0!</v>
      </c>
    </row>
    <row r="7" spans="2:81" ht="15" customHeight="1">
      <c r="B7" s="50">
        <v>3</v>
      </c>
      <c r="C7" s="48">
        <v>2.2999999999999998</v>
      </c>
      <c r="D7" s="4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256"/>
      <c r="AH7" s="128" t="e">
        <f t="shared" si="5"/>
        <v>#DIV/0!</v>
      </c>
      <c r="AI7" s="54" t="e">
        <f t="shared" si="6"/>
        <v>#DIV/0!</v>
      </c>
      <c r="AJ7" s="55" t="e">
        <f t="shared" si="7"/>
        <v>#DIV/0!</v>
      </c>
      <c r="AK7" s="344" t="e">
        <f>100*STDEV(D7,G7,J7,M7,P7,S7,V7,Y7,AB7,AE7)/$C$7</f>
        <v>#DIV/0!</v>
      </c>
      <c r="AL7" s="54" t="e">
        <f>100*STDEV(E7,H7,K7,N7,Q7,T7,W7,Z7,AC7,AF7)/$C$7</f>
        <v>#DIV/0!</v>
      </c>
      <c r="AM7" s="55" t="e">
        <f>100*STDEV(F7,I7,L7,O7,R7,U7,X7,AA7,AD7,AG7)/$C$7</f>
        <v>#DIV/0!</v>
      </c>
      <c r="AN7" s="44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256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256"/>
      <c r="BR7" s="128" t="e">
        <f t="shared" si="8"/>
        <v>#DIV/0!</v>
      </c>
      <c r="BS7" s="54" t="e">
        <f t="shared" si="9"/>
        <v>#DIV/0!</v>
      </c>
      <c r="BT7" s="55" t="e">
        <f t="shared" si="10"/>
        <v>#DIV/0!</v>
      </c>
      <c r="BU7" s="344" t="e">
        <f>100*STDEV(AN7,AQ7,AT7,AW7,AZ7,BC7,BF7,BI7,BL7,BO7)/$C$7</f>
        <v>#DIV/0!</v>
      </c>
      <c r="BV7" s="54" t="e">
        <f>100*STDEV(AO7,AR7,AU7,AX7,BA7,BD7,BG7,BJ7,BM7,BP7)/$C$7</f>
        <v>#DIV/0!</v>
      </c>
      <c r="BW7" s="55" t="e">
        <f>100*STDEV(AP7,AS7,AV7,AY7,BB7,BE7,BH7,BK7,BN7,BQ7)/$C$7</f>
        <v>#DIV/0!</v>
      </c>
      <c r="BX7" s="167" t="e">
        <f t="shared" si="11"/>
        <v>#DIV/0!</v>
      </c>
      <c r="BY7" s="165" t="e">
        <f t="shared" si="0"/>
        <v>#DIV/0!</v>
      </c>
      <c r="BZ7" s="166" t="e">
        <f t="shared" si="1"/>
        <v>#DIV/0!</v>
      </c>
      <c r="CA7" s="164" t="e">
        <f t="shared" si="2"/>
        <v>#DIV/0!</v>
      </c>
      <c r="CB7" s="165" t="e">
        <f t="shared" si="3"/>
        <v>#DIV/0!</v>
      </c>
      <c r="CC7" s="166" t="e">
        <f t="shared" si="4"/>
        <v>#DIV/0!</v>
      </c>
    </row>
    <row r="8" spans="2:81" ht="15" customHeight="1">
      <c r="B8" s="50">
        <v>4</v>
      </c>
      <c r="C8" s="48">
        <v>0.43</v>
      </c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256"/>
      <c r="AH8" s="128" t="e">
        <f t="shared" si="5"/>
        <v>#DIV/0!</v>
      </c>
      <c r="AI8" s="54" t="e">
        <f t="shared" si="6"/>
        <v>#DIV/0!</v>
      </c>
      <c r="AJ8" s="55" t="e">
        <f t="shared" si="7"/>
        <v>#DIV/0!</v>
      </c>
      <c r="AK8" s="344" t="e">
        <f>100*STDEV(D8,G8,J8,M8,P8,S8,V8,Y8,AB8,AE8)/$C$8</f>
        <v>#DIV/0!</v>
      </c>
      <c r="AL8" s="54" t="e">
        <f>100*STDEV(E8,H8,K8,N8,Q8,T8,W8,Z8,AC8,AF8)/$C$8</f>
        <v>#DIV/0!</v>
      </c>
      <c r="AM8" s="55" t="e">
        <f>100*STDEV(F8,I8,L8,O8,R8,U8,X8,AA8,AD8,AG8)/$C$8</f>
        <v>#DIV/0!</v>
      </c>
      <c r="AN8" s="44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256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256"/>
      <c r="BR8" s="128" t="e">
        <f t="shared" si="8"/>
        <v>#DIV/0!</v>
      </c>
      <c r="BS8" s="54" t="e">
        <f t="shared" si="9"/>
        <v>#DIV/0!</v>
      </c>
      <c r="BT8" s="55" t="e">
        <f t="shared" si="10"/>
        <v>#DIV/0!</v>
      </c>
      <c r="BU8" s="344" t="e">
        <f>100*STDEV(AN8,AQ8,AT8,AW8,AZ8,BC8,BF8,BI8,BL8,BO8)/$C$8</f>
        <v>#DIV/0!</v>
      </c>
      <c r="BV8" s="54" t="e">
        <f>100*STDEV(AO8,AR8,AU8,AX8,BA8,BD8,BG8,BJ8,BM8,BP8)/$C$8</f>
        <v>#DIV/0!</v>
      </c>
      <c r="BW8" s="55" t="e">
        <f>100*STDEV(AP8,AS8,AV8,AY8,BB8,BE8,BH8,BK8,BN8,BQ8)/$C$8</f>
        <v>#DIV/0!</v>
      </c>
      <c r="BX8" s="167" t="e">
        <f t="shared" si="11"/>
        <v>#DIV/0!</v>
      </c>
      <c r="BY8" s="165" t="e">
        <f t="shared" si="0"/>
        <v>#DIV/0!</v>
      </c>
      <c r="BZ8" s="166" t="e">
        <f t="shared" si="1"/>
        <v>#DIV/0!</v>
      </c>
      <c r="CA8" s="164" t="e">
        <f t="shared" si="2"/>
        <v>#DIV/0!</v>
      </c>
      <c r="CB8" s="165" t="e">
        <f t="shared" si="3"/>
        <v>#DIV/0!</v>
      </c>
      <c r="CC8" s="166" t="e">
        <f t="shared" si="4"/>
        <v>#DIV/0!</v>
      </c>
    </row>
    <row r="9" spans="2:81" ht="15" customHeight="1">
      <c r="B9" s="50">
        <v>5</v>
      </c>
      <c r="C9" s="48">
        <v>1.1399999999999999</v>
      </c>
      <c r="D9" s="4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256"/>
      <c r="AH9" s="128" t="e">
        <f t="shared" si="5"/>
        <v>#DIV/0!</v>
      </c>
      <c r="AI9" s="54" t="e">
        <f t="shared" si="6"/>
        <v>#DIV/0!</v>
      </c>
      <c r="AJ9" s="55" t="e">
        <f t="shared" si="7"/>
        <v>#DIV/0!</v>
      </c>
      <c r="AK9" s="344" t="e">
        <f>100*STDEV(D9,G9,J9,M9,P9,S9,V9,Y9,AB9,AE9)/$C$9</f>
        <v>#DIV/0!</v>
      </c>
      <c r="AL9" s="54" t="e">
        <f>100*STDEV(E9,H9,K9,N9,Q9,T9,W9,Z9,AC9,AF9)/$C$9</f>
        <v>#DIV/0!</v>
      </c>
      <c r="AM9" s="55" t="e">
        <f>100*STDEV(F9,I9,L9,O9,R9,U9,X9,AA9,AD9,AG9)/$C$9</f>
        <v>#DIV/0!</v>
      </c>
      <c r="AN9" s="44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256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256"/>
      <c r="BR9" s="128" t="e">
        <f t="shared" si="8"/>
        <v>#DIV/0!</v>
      </c>
      <c r="BS9" s="54" t="e">
        <f t="shared" si="9"/>
        <v>#DIV/0!</v>
      </c>
      <c r="BT9" s="55" t="e">
        <f t="shared" si="10"/>
        <v>#DIV/0!</v>
      </c>
      <c r="BU9" s="344" t="e">
        <f>100*STDEV(AN9,AQ9,AT9,AW9,AZ9,BC9,BF9,BI9,BL9,BO9)/$C$9</f>
        <v>#DIV/0!</v>
      </c>
      <c r="BV9" s="54" t="e">
        <f>100*STDEV(AO9,AR9,AU9,AX9,BA9,BD9,BG9,BJ9,BM9,BP9)/$C$9</f>
        <v>#DIV/0!</v>
      </c>
      <c r="BW9" s="55" t="e">
        <f>100*STDEV(AP9,AS9,AV9,AY9,BB9,BE9,BH9,BK9,BN9,BQ9)/$C$9</f>
        <v>#DIV/0!</v>
      </c>
      <c r="BX9" s="167" t="e">
        <f t="shared" si="11"/>
        <v>#DIV/0!</v>
      </c>
      <c r="BY9" s="165" t="e">
        <f t="shared" si="0"/>
        <v>#DIV/0!</v>
      </c>
      <c r="BZ9" s="166" t="e">
        <f t="shared" si="1"/>
        <v>#DIV/0!</v>
      </c>
      <c r="CA9" s="164" t="e">
        <f t="shared" si="2"/>
        <v>#DIV/0!</v>
      </c>
      <c r="CB9" s="165" t="e">
        <f t="shared" si="3"/>
        <v>#DIV/0!</v>
      </c>
      <c r="CC9" s="166" t="e">
        <f t="shared" si="4"/>
        <v>#DIV/0!</v>
      </c>
    </row>
    <row r="10" spans="2:81" ht="15" customHeight="1">
      <c r="B10" s="50">
        <v>6</v>
      </c>
      <c r="C10" s="48">
        <v>0.3</v>
      </c>
      <c r="D10" s="4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256"/>
      <c r="AH10" s="128" t="e">
        <f t="shared" si="5"/>
        <v>#DIV/0!</v>
      </c>
      <c r="AI10" s="54" t="e">
        <f t="shared" si="6"/>
        <v>#DIV/0!</v>
      </c>
      <c r="AJ10" s="55" t="e">
        <f t="shared" si="7"/>
        <v>#DIV/0!</v>
      </c>
      <c r="AK10" s="344" t="e">
        <f>100*STDEV(D10,G10,J10,M10,P10,S10,V10,Y10,AB10,AE10)/$C$10</f>
        <v>#DIV/0!</v>
      </c>
      <c r="AL10" s="54" t="e">
        <f>100*STDEV(E10,H10,K10,N10,Q10,T10,W10,Z10,AC10,AF10)/$C$10</f>
        <v>#DIV/0!</v>
      </c>
      <c r="AM10" s="55" t="e">
        <f>100*STDEV(F10,I10,L10,O10,R10,U10,X10,AA10,AD10,AG10)/$C$10</f>
        <v>#DIV/0!</v>
      </c>
      <c r="AN10" s="44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256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256"/>
      <c r="BR10" s="128" t="e">
        <f t="shared" si="8"/>
        <v>#DIV/0!</v>
      </c>
      <c r="BS10" s="54" t="e">
        <f t="shared" si="9"/>
        <v>#DIV/0!</v>
      </c>
      <c r="BT10" s="55" t="e">
        <f t="shared" si="10"/>
        <v>#DIV/0!</v>
      </c>
      <c r="BU10" s="344" t="e">
        <f>100*STDEV(AN10,AQ10,AT10,AW10,AZ10,BC10,BF10,BI10,BL10,BO10)/$C$10</f>
        <v>#DIV/0!</v>
      </c>
      <c r="BV10" s="54" t="e">
        <f>100*STDEV(AO10,AR10,AU10,AX10,BA10,BD10,BG10,BJ10,BM10,BP10)/$C$10</f>
        <v>#DIV/0!</v>
      </c>
      <c r="BW10" s="55" t="e">
        <f>100*STDEV(AP10,AS10,AV10,AY10,BB10,BE10,BH10,BK10,BN10,BQ10)/$C$10</f>
        <v>#DIV/0!</v>
      </c>
      <c r="BX10" s="167" t="e">
        <f t="shared" si="11"/>
        <v>#DIV/0!</v>
      </c>
      <c r="BY10" s="165" t="e">
        <f t="shared" si="0"/>
        <v>#DIV/0!</v>
      </c>
      <c r="BZ10" s="166" t="e">
        <f t="shared" si="1"/>
        <v>#DIV/0!</v>
      </c>
      <c r="CA10" s="164" t="e">
        <f t="shared" si="2"/>
        <v>#DIV/0!</v>
      </c>
      <c r="CB10" s="165" t="e">
        <f t="shared" si="3"/>
        <v>#DIV/0!</v>
      </c>
      <c r="CC10" s="166" t="e">
        <f t="shared" si="4"/>
        <v>#DIV/0!</v>
      </c>
    </row>
    <row r="11" spans="2:81" ht="15" customHeight="1">
      <c r="B11" s="50">
        <v>7</v>
      </c>
      <c r="C11" s="48">
        <v>0.77</v>
      </c>
      <c r="D11" s="4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256"/>
      <c r="AH11" s="128" t="e">
        <f t="shared" si="5"/>
        <v>#DIV/0!</v>
      </c>
      <c r="AI11" s="54" t="e">
        <f t="shared" si="6"/>
        <v>#DIV/0!</v>
      </c>
      <c r="AJ11" s="55" t="e">
        <f t="shared" si="7"/>
        <v>#DIV/0!</v>
      </c>
      <c r="AK11" s="344" t="e">
        <f>100*STDEV(D11,G11,J11,M11,P11,S11,V11,Y11,AB11,AE11)/$C$11</f>
        <v>#DIV/0!</v>
      </c>
      <c r="AL11" s="54" t="e">
        <f>100*STDEV(E11,H11,K11,N11,Q11,T11,W11,Z11,AC11,AF11)/$C$11</f>
        <v>#DIV/0!</v>
      </c>
      <c r="AM11" s="55" t="e">
        <f>100*STDEV(F11,I11,L11,O11,R11,U11,X11,AA11,AD11,AG11)/$C$11</f>
        <v>#DIV/0!</v>
      </c>
      <c r="AN11" s="44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256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256"/>
      <c r="BR11" s="128" t="e">
        <f t="shared" si="8"/>
        <v>#DIV/0!</v>
      </c>
      <c r="BS11" s="54" t="e">
        <f t="shared" si="9"/>
        <v>#DIV/0!</v>
      </c>
      <c r="BT11" s="55" t="e">
        <f t="shared" si="10"/>
        <v>#DIV/0!</v>
      </c>
      <c r="BU11" s="344" t="e">
        <f>100*STDEV(AN11,AQ11,AT11,AW11,AZ11,BC11,BF11,BI11,BL11,BO11)/$C$11</f>
        <v>#DIV/0!</v>
      </c>
      <c r="BV11" s="54" t="e">
        <f>100*STDEV(AO11,AR11,AU11,AX11,BA11,BD11,BG11,BJ11,BM11,BP11)/$C$11</f>
        <v>#DIV/0!</v>
      </c>
      <c r="BW11" s="55" t="e">
        <f>100*STDEV(AP11,AS11,AV11,AY11,BB11,BE11,BH11,BK11,BN11,BQ11)/$C$11</f>
        <v>#DIV/0!</v>
      </c>
      <c r="BX11" s="167" t="e">
        <f t="shared" si="11"/>
        <v>#DIV/0!</v>
      </c>
      <c r="BY11" s="165" t="e">
        <f t="shared" si="0"/>
        <v>#DIV/0!</v>
      </c>
      <c r="BZ11" s="166" t="e">
        <f t="shared" si="1"/>
        <v>#DIV/0!</v>
      </c>
      <c r="CA11" s="164" t="e">
        <f t="shared" si="2"/>
        <v>#DIV/0!</v>
      </c>
      <c r="CB11" s="165" t="e">
        <f t="shared" si="3"/>
        <v>#DIV/0!</v>
      </c>
      <c r="CC11" s="166" t="e">
        <f t="shared" si="4"/>
        <v>#DIV/0!</v>
      </c>
    </row>
    <row r="12" spans="2:81" ht="15" customHeight="1">
      <c r="B12" s="50">
        <v>8</v>
      </c>
      <c r="C12" s="48">
        <v>0.23</v>
      </c>
      <c r="D12" s="4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256"/>
      <c r="AH12" s="128" t="e">
        <f t="shared" si="5"/>
        <v>#DIV/0!</v>
      </c>
      <c r="AI12" s="54" t="e">
        <f t="shared" si="6"/>
        <v>#DIV/0!</v>
      </c>
      <c r="AJ12" s="55" t="e">
        <f t="shared" si="7"/>
        <v>#DIV/0!</v>
      </c>
      <c r="AK12" s="344" t="e">
        <f>100*STDEV(D12,G12,J12,M12,P12,S12,V12,Y12,AB12,AE12)/$C$12</f>
        <v>#DIV/0!</v>
      </c>
      <c r="AL12" s="54" t="e">
        <f>100*STDEV(E12,H12,K12,N12,Q12,T12,W12,Z12,AC12,AF12)/$C$12</f>
        <v>#DIV/0!</v>
      </c>
      <c r="AM12" s="55" t="e">
        <f>100*STDEV(F12,I12,L12,O12,R12,U12,X12,AA12,AD12,AG12)/$C$12</f>
        <v>#DIV/0!</v>
      </c>
      <c r="AN12" s="44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256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256"/>
      <c r="BR12" s="128" t="e">
        <f t="shared" si="8"/>
        <v>#DIV/0!</v>
      </c>
      <c r="BS12" s="54" t="e">
        <f t="shared" si="9"/>
        <v>#DIV/0!</v>
      </c>
      <c r="BT12" s="55" t="e">
        <f t="shared" si="10"/>
        <v>#DIV/0!</v>
      </c>
      <c r="BU12" s="344" t="e">
        <f>100*STDEV(AN12,AQ12,AT12,AW12,AZ12,BC12,BF12,BI12,BL12,BO12)/$C$12</f>
        <v>#DIV/0!</v>
      </c>
      <c r="BV12" s="54" t="e">
        <f>100*STDEV(AO12,AR12,AU12,AX12,BA12,BD12,BG12,BJ12,BM12,BP12)/$C$12</f>
        <v>#DIV/0!</v>
      </c>
      <c r="BW12" s="55" t="e">
        <f>100*STDEV(AP12,AS12,AV12,AY12,BB12,BE12,BH12,BK12,BN12,BQ12)/$C$12</f>
        <v>#DIV/0!</v>
      </c>
      <c r="BX12" s="167" t="e">
        <f t="shared" si="11"/>
        <v>#DIV/0!</v>
      </c>
      <c r="BY12" s="165" t="e">
        <f t="shared" si="0"/>
        <v>#DIV/0!</v>
      </c>
      <c r="BZ12" s="166" t="e">
        <f t="shared" si="1"/>
        <v>#DIV/0!</v>
      </c>
      <c r="CA12" s="164" t="e">
        <f t="shared" si="2"/>
        <v>#DIV/0!</v>
      </c>
      <c r="CB12" s="165" t="e">
        <f t="shared" si="3"/>
        <v>#DIV/0!</v>
      </c>
      <c r="CC12" s="166" t="e">
        <f t="shared" si="4"/>
        <v>#DIV/0!</v>
      </c>
    </row>
    <row r="13" spans="2:81" ht="15" customHeight="1">
      <c r="B13" s="50">
        <v>9</v>
      </c>
      <c r="C13" s="48">
        <v>0.4</v>
      </c>
      <c r="D13" s="4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256"/>
      <c r="AH13" s="128" t="e">
        <f t="shared" si="5"/>
        <v>#DIV/0!</v>
      </c>
      <c r="AI13" s="54" t="e">
        <f t="shared" si="6"/>
        <v>#DIV/0!</v>
      </c>
      <c r="AJ13" s="55" t="e">
        <f t="shared" si="7"/>
        <v>#DIV/0!</v>
      </c>
      <c r="AK13" s="344" t="e">
        <f>100*STDEV(D13,G13,J13,M13,P13,S13,V13,Y13,AB13,AE13)/$C$13</f>
        <v>#DIV/0!</v>
      </c>
      <c r="AL13" s="54" t="e">
        <f>100*STDEV(E13,H13,K13,N13,Q13,T13,W13,Z13,AC13,AF13)/$C$13</f>
        <v>#DIV/0!</v>
      </c>
      <c r="AM13" s="55" t="e">
        <f>100*STDEV(F13,I13,L13,O13,R13,U13,X13,AA13,AD13,AG13)/$C$13</f>
        <v>#DIV/0!</v>
      </c>
      <c r="AN13" s="44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256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256"/>
      <c r="BR13" s="128" t="e">
        <f t="shared" si="8"/>
        <v>#DIV/0!</v>
      </c>
      <c r="BS13" s="54" t="e">
        <f t="shared" si="9"/>
        <v>#DIV/0!</v>
      </c>
      <c r="BT13" s="55" t="e">
        <f t="shared" si="10"/>
        <v>#DIV/0!</v>
      </c>
      <c r="BU13" s="344" t="e">
        <f>100*STDEV(AN13,AQ13,AT13,AW13,AZ13,BC13,BF13,BI13,BL13,BO13)/$C$13</f>
        <v>#DIV/0!</v>
      </c>
      <c r="BV13" s="54" t="e">
        <f>100*STDEV(AO13,AR13,AU13,AX13,BA13,BD13,BG13,BJ13,BM13,BP13)/$C$13</f>
        <v>#DIV/0!</v>
      </c>
      <c r="BW13" s="55" t="e">
        <f>100*STDEV(AP13,AS13,AV13,AY13,BB13,BE13,BH13,BK13,BN13,BQ13)/$C$13</f>
        <v>#DIV/0!</v>
      </c>
      <c r="BX13" s="167" t="e">
        <f t="shared" si="11"/>
        <v>#DIV/0!</v>
      </c>
      <c r="BY13" s="165" t="e">
        <f t="shared" si="0"/>
        <v>#DIV/0!</v>
      </c>
      <c r="BZ13" s="166" t="e">
        <f t="shared" si="1"/>
        <v>#DIV/0!</v>
      </c>
      <c r="CA13" s="164" t="e">
        <f t="shared" si="2"/>
        <v>#DIV/0!</v>
      </c>
      <c r="CB13" s="165" t="e">
        <f t="shared" si="3"/>
        <v>#DIV/0!</v>
      </c>
      <c r="CC13" s="166" t="e">
        <f t="shared" si="4"/>
        <v>#DIV/0!</v>
      </c>
    </row>
    <row r="14" spans="2:81" ht="15" customHeight="1">
      <c r="B14" s="50">
        <v>10</v>
      </c>
      <c r="C14" s="48">
        <v>0.184</v>
      </c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256"/>
      <c r="AH14" s="128" t="e">
        <f t="shared" si="5"/>
        <v>#DIV/0!</v>
      </c>
      <c r="AI14" s="54" t="e">
        <f t="shared" si="6"/>
        <v>#DIV/0!</v>
      </c>
      <c r="AJ14" s="55" t="e">
        <f t="shared" si="7"/>
        <v>#DIV/0!</v>
      </c>
      <c r="AK14" s="344" t="e">
        <f>100*STDEV(D14,G14,J14,M14,P14,S14,V14,Y14,AB14,AE14)/$C$14</f>
        <v>#DIV/0!</v>
      </c>
      <c r="AL14" s="54" t="e">
        <f>100*STDEV(E14,H14,K14,N14,Q14,T14,W14,Z14,AC14,AF14)/$C$14</f>
        <v>#DIV/0!</v>
      </c>
      <c r="AM14" s="55" t="e">
        <f>100*STDEV(F14,I14,L14,O14,R14,U14,X14,AA14,AD14,AG14)/$C$14</f>
        <v>#DIV/0!</v>
      </c>
      <c r="AN14" s="44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256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256"/>
      <c r="BR14" s="128" t="e">
        <f t="shared" si="8"/>
        <v>#DIV/0!</v>
      </c>
      <c r="BS14" s="54" t="e">
        <f t="shared" si="9"/>
        <v>#DIV/0!</v>
      </c>
      <c r="BT14" s="55" t="e">
        <f t="shared" si="10"/>
        <v>#DIV/0!</v>
      </c>
      <c r="BU14" s="344" t="e">
        <f>100*STDEV(AN14,AQ14,AT14,AW14,AZ14,BC14,BF14,BI14,BL14,BO14)/$C$14</f>
        <v>#DIV/0!</v>
      </c>
      <c r="BV14" s="54" t="e">
        <f>100*STDEV(AO14,AR14,AU14,AX14,BA14,BD14,BG14,BJ14,BM14,BP14)/$C$14</f>
        <v>#DIV/0!</v>
      </c>
      <c r="BW14" s="55" t="e">
        <f>100*STDEV(AP14,AS14,AV14,AY14,BB14,BE14,BH14,BK14,BN14,BQ14)/$C$14</f>
        <v>#DIV/0!</v>
      </c>
      <c r="BX14" s="167" t="e">
        <f t="shared" si="11"/>
        <v>#DIV/0!</v>
      </c>
      <c r="BY14" s="165" t="e">
        <f t="shared" si="0"/>
        <v>#DIV/0!</v>
      </c>
      <c r="BZ14" s="166" t="e">
        <f t="shared" si="1"/>
        <v>#DIV/0!</v>
      </c>
      <c r="CA14" s="164" t="e">
        <f t="shared" si="2"/>
        <v>#DIV/0!</v>
      </c>
      <c r="CB14" s="165" t="e">
        <f t="shared" si="3"/>
        <v>#DIV/0!</v>
      </c>
      <c r="CC14" s="166" t="e">
        <f t="shared" si="4"/>
        <v>#DIV/0!</v>
      </c>
    </row>
    <row r="15" spans="2:81" ht="15" customHeight="1">
      <c r="B15" s="50">
        <v>11</v>
      </c>
      <c r="C15" s="48">
        <v>0.33</v>
      </c>
      <c r="D15" s="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256"/>
      <c r="AH15" s="128" t="e">
        <f t="shared" si="5"/>
        <v>#DIV/0!</v>
      </c>
      <c r="AI15" s="54" t="e">
        <f t="shared" si="6"/>
        <v>#DIV/0!</v>
      </c>
      <c r="AJ15" s="55" t="e">
        <f t="shared" si="7"/>
        <v>#DIV/0!</v>
      </c>
      <c r="AK15" s="344" t="e">
        <f>100*STDEV(D15,G15,J15,M15,P15,S15,V15,Y15,AB15,AE15)/$C$15</f>
        <v>#DIV/0!</v>
      </c>
      <c r="AL15" s="54" t="e">
        <f>100*STDEV(E15,H15,K15,N15,Q15,T15,W15,Z15,AC15,AF15)/$C$15</f>
        <v>#DIV/0!</v>
      </c>
      <c r="AM15" s="55" t="e">
        <f>100*STDEV(F15,I15,L15,O15,R15,U15,X15,AA15,AD15,AG15)/$C$15</f>
        <v>#DIV/0!</v>
      </c>
      <c r="AN15" s="44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256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256"/>
      <c r="BR15" s="128" t="e">
        <f t="shared" si="8"/>
        <v>#DIV/0!</v>
      </c>
      <c r="BS15" s="54" t="e">
        <f t="shared" si="9"/>
        <v>#DIV/0!</v>
      </c>
      <c r="BT15" s="55" t="e">
        <f t="shared" si="10"/>
        <v>#DIV/0!</v>
      </c>
      <c r="BU15" s="344" t="e">
        <f>100*STDEV(AN15,AQ15,AT15,AW15,AZ15,BC15,BF15,BI15,BL15,BO15)/$C$15</f>
        <v>#DIV/0!</v>
      </c>
      <c r="BV15" s="54" t="e">
        <f>100*STDEV(AO15,AR15,AU15,AX15,BA15,BD15,BG15,BJ15,BM15,BP15)/$C$15</f>
        <v>#DIV/0!</v>
      </c>
      <c r="BW15" s="55" t="e">
        <f>100*STDEV(AP15,AS15,AV15,AY15,BB15,BE15,BH15,BK15,BN15,BQ15)/$C$15</f>
        <v>#DIV/0!</v>
      </c>
      <c r="BX15" s="167" t="e">
        <f t="shared" si="11"/>
        <v>#DIV/0!</v>
      </c>
      <c r="BY15" s="165" t="e">
        <f t="shared" si="0"/>
        <v>#DIV/0!</v>
      </c>
      <c r="BZ15" s="166" t="e">
        <f t="shared" si="1"/>
        <v>#DIV/0!</v>
      </c>
      <c r="CA15" s="164" t="e">
        <f t="shared" si="2"/>
        <v>#DIV/0!</v>
      </c>
      <c r="CB15" s="165" t="e">
        <f t="shared" si="3"/>
        <v>#DIV/0!</v>
      </c>
      <c r="CC15" s="166" t="e">
        <f t="shared" si="4"/>
        <v>#DIV/0!</v>
      </c>
    </row>
    <row r="16" spans="2:81" ht="15" customHeight="1">
      <c r="B16" s="50">
        <v>12</v>
      </c>
      <c r="C16" s="48">
        <v>0.15332999999999999</v>
      </c>
      <c r="D16" s="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256"/>
      <c r="AH16" s="128" t="e">
        <f t="shared" si="5"/>
        <v>#DIV/0!</v>
      </c>
      <c r="AI16" s="54" t="e">
        <f t="shared" si="6"/>
        <v>#DIV/0!</v>
      </c>
      <c r="AJ16" s="55" t="e">
        <f t="shared" si="7"/>
        <v>#DIV/0!</v>
      </c>
      <c r="AK16" s="344" t="e">
        <f>100*STDEV(D16,G16,J16,M16,P16,S16,V16,Y16,AB16,AE16)/$C$16</f>
        <v>#DIV/0!</v>
      </c>
      <c r="AL16" s="54" t="e">
        <f>100*STDEV(E16,H16,K16,N16,Q16,T16,W16,Z16,AC16,AF16)/$C$16</f>
        <v>#DIV/0!</v>
      </c>
      <c r="AM16" s="55" t="e">
        <f>100*STDEV(F16,I16,L16,O16,R16,U16,X16,AA16,AD16,AG16)/$C$16</f>
        <v>#DIV/0!</v>
      </c>
      <c r="AN16" s="44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256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256"/>
      <c r="BR16" s="128" t="e">
        <f t="shared" si="8"/>
        <v>#DIV/0!</v>
      </c>
      <c r="BS16" s="54" t="e">
        <f t="shared" si="9"/>
        <v>#DIV/0!</v>
      </c>
      <c r="BT16" s="55" t="e">
        <f t="shared" si="10"/>
        <v>#DIV/0!</v>
      </c>
      <c r="BU16" s="344" t="e">
        <f>100*STDEV(AN16,AQ16,AT16,AW16,AZ16,BC16,BF16,BI16,BL16,BO16)/$C$16</f>
        <v>#DIV/0!</v>
      </c>
      <c r="BV16" s="54" t="e">
        <f>100*STDEV(AO16,AR16,AU16,AX16,BA16,BD16,BG16,BJ16,BM16,BP16)/$C$16</f>
        <v>#DIV/0!</v>
      </c>
      <c r="BW16" s="55" t="e">
        <f>100*STDEV(AP16,AS16,AV16,AY16,BB16,BE16,BH16,BK16,BN16,BQ16)/$C$16</f>
        <v>#DIV/0!</v>
      </c>
      <c r="BX16" s="167" t="e">
        <f t="shared" si="11"/>
        <v>#DIV/0!</v>
      </c>
      <c r="BY16" s="165" t="e">
        <f t="shared" si="0"/>
        <v>#DIV/0!</v>
      </c>
      <c r="BZ16" s="166" t="e">
        <f t="shared" si="1"/>
        <v>#DIV/0!</v>
      </c>
      <c r="CA16" s="164" t="e">
        <f t="shared" si="2"/>
        <v>#DIV/0!</v>
      </c>
      <c r="CB16" s="165" t="e">
        <f t="shared" si="3"/>
        <v>#DIV/0!</v>
      </c>
      <c r="CC16" s="166" t="e">
        <f t="shared" si="4"/>
        <v>#DIV/0!</v>
      </c>
    </row>
    <row r="17" spans="2:81" ht="15" customHeight="1">
      <c r="B17" s="50">
        <v>13</v>
      </c>
      <c r="C17" s="48">
        <v>0.21</v>
      </c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256"/>
      <c r="AH17" s="128" t="e">
        <f t="shared" si="5"/>
        <v>#DIV/0!</v>
      </c>
      <c r="AI17" s="54" t="e">
        <f t="shared" si="6"/>
        <v>#DIV/0!</v>
      </c>
      <c r="AJ17" s="55" t="e">
        <f t="shared" si="7"/>
        <v>#DIV/0!</v>
      </c>
      <c r="AK17" s="344" t="e">
        <f>100*STDEV(D17,G17,J17,M17,P17,S17,V17,Y17,AB17,AE17)/$C$17</f>
        <v>#DIV/0!</v>
      </c>
      <c r="AL17" s="54" t="e">
        <f>100*STDEV(E17,H17,K17,N17,Q17,T17,W17,Z17,AC17,AF17)/$C$17</f>
        <v>#DIV/0!</v>
      </c>
      <c r="AM17" s="55" t="e">
        <f>100*STDEV(F17,I17,L17,O17,R17,U17,X17,AA17,AD17,AG17)/$C$17</f>
        <v>#DIV/0!</v>
      </c>
      <c r="AN17" s="44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256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256"/>
      <c r="BR17" s="128" t="e">
        <f t="shared" si="8"/>
        <v>#DIV/0!</v>
      </c>
      <c r="BS17" s="54" t="e">
        <f t="shared" si="9"/>
        <v>#DIV/0!</v>
      </c>
      <c r="BT17" s="55" t="e">
        <f t="shared" si="10"/>
        <v>#DIV/0!</v>
      </c>
      <c r="BU17" s="344" t="e">
        <f>100*STDEV(AN17,AQ17,AT17,AW17,AZ17,BC17,BF17,BI17,BL17,BO17)/$C$17</f>
        <v>#DIV/0!</v>
      </c>
      <c r="BV17" s="54" t="e">
        <f>100*STDEV(AO17,AR17,AU17,AX17,BA17,BD17,BG17,BJ17,BM17,BP17)/$C$17</f>
        <v>#DIV/0!</v>
      </c>
      <c r="BW17" s="55" t="e">
        <f>100*STDEV(AP17,AS17,AV17,AY17,BB17,BE17,BH17,BK17,BN17,BQ17)/$C$17</f>
        <v>#DIV/0!</v>
      </c>
      <c r="BX17" s="167" t="e">
        <f t="shared" si="11"/>
        <v>#DIV/0!</v>
      </c>
      <c r="BY17" s="165" t="e">
        <f t="shared" si="0"/>
        <v>#DIV/0!</v>
      </c>
      <c r="BZ17" s="166" t="e">
        <f t="shared" si="1"/>
        <v>#DIV/0!</v>
      </c>
      <c r="CA17" s="164" t="e">
        <f t="shared" si="2"/>
        <v>#DIV/0!</v>
      </c>
      <c r="CB17" s="165" t="e">
        <f t="shared" si="3"/>
        <v>#DIV/0!</v>
      </c>
      <c r="CC17" s="166" t="e">
        <f t="shared" si="4"/>
        <v>#DIV/0!</v>
      </c>
    </row>
    <row r="18" spans="2:81" ht="15" customHeight="1">
      <c r="B18" s="50">
        <v>14</v>
      </c>
      <c r="C18" s="48">
        <v>0.13142999999999999</v>
      </c>
      <c r="D18" s="4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256"/>
      <c r="AH18" s="128" t="e">
        <f t="shared" si="5"/>
        <v>#DIV/0!</v>
      </c>
      <c r="AI18" s="54" t="e">
        <f t="shared" si="6"/>
        <v>#DIV/0!</v>
      </c>
      <c r="AJ18" s="55" t="e">
        <f t="shared" si="7"/>
        <v>#DIV/0!</v>
      </c>
      <c r="AK18" s="344" t="e">
        <f>100*STDEV(D18,G18,J18,M18,P18,S18,V18,Y18,AB18,AE18)/$C$18</f>
        <v>#DIV/0!</v>
      </c>
      <c r="AL18" s="54" t="e">
        <f>100*STDEV(E18,H18,K18,N18,Q18,T18,W18,Z18,AC18,AF18)/$C$18</f>
        <v>#DIV/0!</v>
      </c>
      <c r="AM18" s="55" t="e">
        <f>100*STDEV(F18,I18,L18,O18,R18,U18,X18,AA18,AD18,AG18)/$C$18</f>
        <v>#DIV/0!</v>
      </c>
      <c r="AN18" s="44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256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256"/>
      <c r="BR18" s="128" t="e">
        <f t="shared" si="8"/>
        <v>#DIV/0!</v>
      </c>
      <c r="BS18" s="54" t="e">
        <f t="shared" si="9"/>
        <v>#DIV/0!</v>
      </c>
      <c r="BT18" s="55" t="e">
        <f t="shared" si="10"/>
        <v>#DIV/0!</v>
      </c>
      <c r="BU18" s="344" t="e">
        <f>100*STDEV(AN18,AQ18,AT18,AW18,AZ18,BC18,BF18,BI18,BL18,BO18)/$C$18</f>
        <v>#DIV/0!</v>
      </c>
      <c r="BV18" s="54" t="e">
        <f>100*STDEV(AO18,AR18,AU18,AX18,BA18,BD18,BG18,BJ18,BM18,BP18)/$C$18</f>
        <v>#DIV/0!</v>
      </c>
      <c r="BW18" s="55" t="e">
        <f>100*STDEV(AP18,AS18,AV18,AY18,BB18,BE18,BH18,BK18,BN18,BQ18)/$C$18</f>
        <v>#DIV/0!</v>
      </c>
      <c r="BX18" s="167" t="e">
        <f t="shared" si="11"/>
        <v>#DIV/0!</v>
      </c>
      <c r="BY18" s="165" t="e">
        <f t="shared" si="0"/>
        <v>#DIV/0!</v>
      </c>
      <c r="BZ18" s="166" t="e">
        <f t="shared" si="1"/>
        <v>#DIV/0!</v>
      </c>
      <c r="CA18" s="164" t="e">
        <f t="shared" si="2"/>
        <v>#DIV/0!</v>
      </c>
      <c r="CB18" s="165" t="e">
        <f t="shared" si="3"/>
        <v>#DIV/0!</v>
      </c>
      <c r="CC18" s="166" t="e">
        <f t="shared" si="4"/>
        <v>#DIV/0!</v>
      </c>
    </row>
    <row r="19" spans="2:81" ht="15" customHeight="1">
      <c r="B19" s="50">
        <v>15</v>
      </c>
      <c r="C19" s="48">
        <v>0.15</v>
      </c>
      <c r="D19" s="4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256"/>
      <c r="AH19" s="128" t="e">
        <f t="shared" si="5"/>
        <v>#DIV/0!</v>
      </c>
      <c r="AI19" s="54" t="e">
        <f t="shared" si="6"/>
        <v>#DIV/0!</v>
      </c>
      <c r="AJ19" s="55" t="e">
        <f t="shared" si="7"/>
        <v>#DIV/0!</v>
      </c>
      <c r="AK19" s="344" t="e">
        <f>100*STDEV(D19,G19,J19,M19,P19,S19,V19,Y19,AB19,AE19)/$C$19</f>
        <v>#DIV/0!</v>
      </c>
      <c r="AL19" s="54" t="e">
        <f>100*STDEV(E19,H19,K19,N19,Q19,T19,W19,Z19,AC19,AF19)/$C$19</f>
        <v>#DIV/0!</v>
      </c>
      <c r="AM19" s="55" t="e">
        <f>100*STDEV(F19,I19,L19,O19,R19,U19,X19,AA19,AD19,AG19)/$C$19</f>
        <v>#DIV/0!</v>
      </c>
      <c r="AN19" s="44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256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256"/>
      <c r="BR19" s="128" t="e">
        <f t="shared" si="8"/>
        <v>#DIV/0!</v>
      </c>
      <c r="BS19" s="54" t="e">
        <f t="shared" si="9"/>
        <v>#DIV/0!</v>
      </c>
      <c r="BT19" s="55" t="e">
        <f t="shared" si="10"/>
        <v>#DIV/0!</v>
      </c>
      <c r="BU19" s="344" t="e">
        <f>100*STDEV(AN19,AQ19,AT19,AW19,AZ19,BC19,BF19,BI19,BL19,BO19)/$C$19</f>
        <v>#DIV/0!</v>
      </c>
      <c r="BV19" s="54" t="e">
        <f>100*STDEV(AO19,AR19,AU19,AX19,BA19,BD19,BG19,BJ19,BM19,BP19)/$C$19</f>
        <v>#DIV/0!</v>
      </c>
      <c r="BW19" s="55" t="e">
        <f>100*STDEV(AP19,AS19,AV19,AY19,BB19,BE19,BH19,BK19,BN19,BQ19)/$C$19</f>
        <v>#DIV/0!</v>
      </c>
      <c r="BX19" s="167" t="e">
        <f t="shared" si="11"/>
        <v>#DIV/0!</v>
      </c>
      <c r="BY19" s="165" t="e">
        <f t="shared" si="0"/>
        <v>#DIV/0!</v>
      </c>
      <c r="BZ19" s="166" t="e">
        <f t="shared" si="1"/>
        <v>#DIV/0!</v>
      </c>
      <c r="CA19" s="164" t="e">
        <f t="shared" si="2"/>
        <v>#DIV/0!</v>
      </c>
      <c r="CB19" s="165" t="e">
        <f t="shared" si="3"/>
        <v>#DIV/0!</v>
      </c>
      <c r="CC19" s="166" t="e">
        <f t="shared" si="4"/>
        <v>#DIV/0!</v>
      </c>
    </row>
    <row r="20" spans="2:81" ht="15" customHeight="1">
      <c r="B20" s="50">
        <v>16</v>
      </c>
      <c r="C20" s="48">
        <v>0.115</v>
      </c>
      <c r="D20" s="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256"/>
      <c r="AH20" s="128" t="e">
        <f t="shared" si="5"/>
        <v>#DIV/0!</v>
      </c>
      <c r="AI20" s="54" t="e">
        <f t="shared" si="6"/>
        <v>#DIV/0!</v>
      </c>
      <c r="AJ20" s="55" t="e">
        <f t="shared" si="7"/>
        <v>#DIV/0!</v>
      </c>
      <c r="AK20" s="344" t="e">
        <f>100*STDEV(D20,G20,J20,M20,P20,S20,V20,Y20,AB20,AE20)/$C$20</f>
        <v>#DIV/0!</v>
      </c>
      <c r="AL20" s="54" t="e">
        <f>100*STDEV(E20,H20,K20,N20,Q20,T20,W20,Z20,AC20,AF20)/$C$20</f>
        <v>#DIV/0!</v>
      </c>
      <c r="AM20" s="55" t="e">
        <f>100*STDEV(F20,I20,L20,O20,R20,U20,X20,AA20,AD20,AG20)/$C$20</f>
        <v>#DIV/0!</v>
      </c>
      <c r="AN20" s="44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256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256"/>
      <c r="BR20" s="128" t="e">
        <f t="shared" si="8"/>
        <v>#DIV/0!</v>
      </c>
      <c r="BS20" s="54" t="e">
        <f t="shared" si="9"/>
        <v>#DIV/0!</v>
      </c>
      <c r="BT20" s="55" t="e">
        <f t="shared" si="10"/>
        <v>#DIV/0!</v>
      </c>
      <c r="BU20" s="344" t="e">
        <f>100*STDEV(AN20,AQ20,AT20,AW20,AZ20,BC20,BF20,BI20,BL20,BO20)/$C$20</f>
        <v>#DIV/0!</v>
      </c>
      <c r="BV20" s="54" t="e">
        <f>100*STDEV(AO20,AR20,AU20,AX20,BA20,BD20,BG20,BJ20,BM20,BP20)/$C$20</f>
        <v>#DIV/0!</v>
      </c>
      <c r="BW20" s="55" t="e">
        <f>100*STDEV(AP20,AS20,AV20,AY20,BB20,BE20,BH20,BK20,BN20,BQ20)/$C$20</f>
        <v>#DIV/0!</v>
      </c>
      <c r="BX20" s="167" t="e">
        <f t="shared" si="11"/>
        <v>#DIV/0!</v>
      </c>
      <c r="BY20" s="165" t="e">
        <f t="shared" si="0"/>
        <v>#DIV/0!</v>
      </c>
      <c r="BZ20" s="166" t="e">
        <f t="shared" si="1"/>
        <v>#DIV/0!</v>
      </c>
      <c r="CA20" s="164" t="e">
        <f t="shared" si="2"/>
        <v>#DIV/0!</v>
      </c>
      <c r="CB20" s="165" t="e">
        <f t="shared" si="3"/>
        <v>#DIV/0!</v>
      </c>
      <c r="CC20" s="166" t="e">
        <f t="shared" si="4"/>
        <v>#DIV/0!</v>
      </c>
    </row>
    <row r="21" spans="2:81" ht="15" customHeight="1">
      <c r="B21" s="50">
        <v>17</v>
      </c>
      <c r="C21" s="48">
        <v>0.13235</v>
      </c>
      <c r="D21" s="4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256"/>
      <c r="AH21" s="128" t="e">
        <f t="shared" si="5"/>
        <v>#DIV/0!</v>
      </c>
      <c r="AI21" s="54" t="e">
        <f t="shared" si="6"/>
        <v>#DIV/0!</v>
      </c>
      <c r="AJ21" s="55" t="e">
        <f t="shared" si="7"/>
        <v>#DIV/0!</v>
      </c>
      <c r="AK21" s="344" t="e">
        <f>100*STDEV(D21,G21,J21,M21,P21,S21,V21,Y21,AB21,AE21)/$C$21</f>
        <v>#DIV/0!</v>
      </c>
      <c r="AL21" s="54" t="e">
        <f>100*STDEV(E21,H21,K21,N21,Q21,T21,W21,Z21,AC21,AF21)/$C$21</f>
        <v>#DIV/0!</v>
      </c>
      <c r="AM21" s="55" t="e">
        <f>100*STDEV(F21,I21,L21,O21,R21,U21,X21,AA21,AD21,AG21)/$C$21</f>
        <v>#DIV/0!</v>
      </c>
      <c r="AN21" s="44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256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256"/>
      <c r="BR21" s="128" t="e">
        <f t="shared" si="8"/>
        <v>#DIV/0!</v>
      </c>
      <c r="BS21" s="54" t="e">
        <f t="shared" si="9"/>
        <v>#DIV/0!</v>
      </c>
      <c r="BT21" s="55" t="e">
        <f t="shared" si="10"/>
        <v>#DIV/0!</v>
      </c>
      <c r="BU21" s="344" t="e">
        <f>100*STDEV(AN21,AQ21,AT21,AW21,AZ21,BC21,BF21,BI21,BL21,BO21)/$C$21</f>
        <v>#DIV/0!</v>
      </c>
      <c r="BV21" s="54" t="e">
        <f>100*STDEV(AO21,AR21,AU21,AX21,BA21,BD21,BG21,BJ21,BM21,BP21)/$C$21</f>
        <v>#DIV/0!</v>
      </c>
      <c r="BW21" s="55" t="e">
        <f>100*STDEV(AP21,AS21,AV21,AY21,BB21,BE21,BH21,BK21,BN21,BQ21)/$C$21</f>
        <v>#DIV/0!</v>
      </c>
      <c r="BX21" s="167" t="e">
        <f t="shared" si="11"/>
        <v>#DIV/0!</v>
      </c>
      <c r="BY21" s="165" t="e">
        <f t="shared" si="0"/>
        <v>#DIV/0!</v>
      </c>
      <c r="BZ21" s="166" t="e">
        <f t="shared" si="1"/>
        <v>#DIV/0!</v>
      </c>
      <c r="CA21" s="164" t="e">
        <f t="shared" si="2"/>
        <v>#DIV/0!</v>
      </c>
      <c r="CB21" s="165" t="e">
        <f t="shared" si="3"/>
        <v>#DIV/0!</v>
      </c>
      <c r="CC21" s="166" t="e">
        <f t="shared" si="4"/>
        <v>#DIV/0!</v>
      </c>
    </row>
    <row r="22" spans="2:81" ht="15" customHeight="1">
      <c r="B22" s="50">
        <v>18</v>
      </c>
      <c r="C22" s="48">
        <v>0.10222000000000001</v>
      </c>
      <c r="D22" s="4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256"/>
      <c r="AH22" s="128" t="e">
        <f t="shared" si="5"/>
        <v>#DIV/0!</v>
      </c>
      <c r="AI22" s="54" t="e">
        <f t="shared" si="6"/>
        <v>#DIV/0!</v>
      </c>
      <c r="AJ22" s="55" t="e">
        <f t="shared" si="7"/>
        <v>#DIV/0!</v>
      </c>
      <c r="AK22" s="344" t="e">
        <f>100*STDEV(D22,G22,J22,M22,P22,S22,V22,Y22,AB22,AE22)/$C$22</f>
        <v>#DIV/0!</v>
      </c>
      <c r="AL22" s="54" t="e">
        <f>100*STDEV(E22,H22,K22,N22,Q22,T22,W22,Z22,AC22,AF22)/$C$22</f>
        <v>#DIV/0!</v>
      </c>
      <c r="AM22" s="55" t="e">
        <f>100*STDEV(F22,I22,L22,O22,R22,U22,X22,AA22,AD22,AG22)/$C$22</f>
        <v>#DIV/0!</v>
      </c>
      <c r="AN22" s="44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256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256"/>
      <c r="BR22" s="128" t="e">
        <f t="shared" si="8"/>
        <v>#DIV/0!</v>
      </c>
      <c r="BS22" s="54" t="e">
        <f t="shared" si="9"/>
        <v>#DIV/0!</v>
      </c>
      <c r="BT22" s="55" t="e">
        <f t="shared" si="10"/>
        <v>#DIV/0!</v>
      </c>
      <c r="BU22" s="344" t="e">
        <f>100*STDEV(AN22,AQ22,AT22,AW22,AZ22,BC22,BF22,BI22,BL22,BO22)/$C$22</f>
        <v>#DIV/0!</v>
      </c>
      <c r="BV22" s="54" t="e">
        <f>100*STDEV(AO22,AR22,AU22,AX22,BA22,BD22,BG22,BJ22,BM22,BP22)/$C$22</f>
        <v>#DIV/0!</v>
      </c>
      <c r="BW22" s="55" t="e">
        <f>100*STDEV(AP22,AS22,AV22,AY22,BB22,BE22,BH22,BK22,BN22,BQ22)/$C$22</f>
        <v>#DIV/0!</v>
      </c>
      <c r="BX22" s="167" t="e">
        <f t="shared" si="11"/>
        <v>#DIV/0!</v>
      </c>
      <c r="BY22" s="165" t="e">
        <f t="shared" si="0"/>
        <v>#DIV/0!</v>
      </c>
      <c r="BZ22" s="166" t="e">
        <f t="shared" si="1"/>
        <v>#DIV/0!</v>
      </c>
      <c r="CA22" s="164" t="e">
        <f t="shared" si="2"/>
        <v>#DIV/0!</v>
      </c>
      <c r="CB22" s="165" t="e">
        <f t="shared" si="3"/>
        <v>#DIV/0!</v>
      </c>
      <c r="CC22" s="166" t="e">
        <f t="shared" si="4"/>
        <v>#DIV/0!</v>
      </c>
    </row>
    <row r="23" spans="2:81" ht="15" customHeight="1">
      <c r="B23" s="50">
        <v>19</v>
      </c>
      <c r="C23" s="48">
        <v>0.11842</v>
      </c>
      <c r="D23" s="4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256"/>
      <c r="AH23" s="128" t="e">
        <f t="shared" si="5"/>
        <v>#DIV/0!</v>
      </c>
      <c r="AI23" s="54" t="e">
        <f t="shared" si="6"/>
        <v>#DIV/0!</v>
      </c>
      <c r="AJ23" s="55" t="e">
        <f t="shared" si="7"/>
        <v>#DIV/0!</v>
      </c>
      <c r="AK23" s="344" t="e">
        <f>100*STDEV(D23,G23,J23,M23,P23,S23,V23,Y23,AB23,AE23)/$C$23</f>
        <v>#DIV/0!</v>
      </c>
      <c r="AL23" s="54" t="e">
        <f>100*STDEV(E23,H23,K23,N23,Q23,T23,W23,Z23,AC23,AF23)/$C$23</f>
        <v>#DIV/0!</v>
      </c>
      <c r="AM23" s="55" t="e">
        <f>100*STDEV(F23,I23,L23,O23,R23,U23,X23,AA23,AD23,AG23)/$C$23</f>
        <v>#DIV/0!</v>
      </c>
      <c r="AN23" s="44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256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256"/>
      <c r="BR23" s="128" t="e">
        <f t="shared" si="8"/>
        <v>#DIV/0!</v>
      </c>
      <c r="BS23" s="54" t="e">
        <f t="shared" si="9"/>
        <v>#DIV/0!</v>
      </c>
      <c r="BT23" s="55" t="e">
        <f t="shared" si="10"/>
        <v>#DIV/0!</v>
      </c>
      <c r="BU23" s="344" t="e">
        <f>100*STDEV(AN23,AQ23,AT23,AW23,AZ23,BC23,BF23,BI23,BL23,BO23)/$C$23</f>
        <v>#DIV/0!</v>
      </c>
      <c r="BV23" s="54" t="e">
        <f>100*STDEV(AO23,AR23,AU23,AX23,BA23,BD23,BG23,BJ23,BM23,BP23)/$C$23</f>
        <v>#DIV/0!</v>
      </c>
      <c r="BW23" s="55" t="e">
        <f>100*STDEV(AP23,AS23,AV23,AY23,BB23,BE23,BH23,BK23,BN23,BQ23)/$C$23</f>
        <v>#DIV/0!</v>
      </c>
      <c r="BX23" s="167" t="e">
        <f t="shared" si="11"/>
        <v>#DIV/0!</v>
      </c>
      <c r="BY23" s="165" t="e">
        <f t="shared" si="0"/>
        <v>#DIV/0!</v>
      </c>
      <c r="BZ23" s="166" t="e">
        <f t="shared" si="1"/>
        <v>#DIV/0!</v>
      </c>
      <c r="CA23" s="164" t="e">
        <f t="shared" si="2"/>
        <v>#DIV/0!</v>
      </c>
      <c r="CB23" s="165" t="e">
        <f t="shared" si="3"/>
        <v>#DIV/0!</v>
      </c>
      <c r="CC23" s="166" t="e">
        <f t="shared" si="4"/>
        <v>#DIV/0!</v>
      </c>
    </row>
    <row r="24" spans="2:81" ht="15" customHeight="1">
      <c r="B24" s="50">
        <v>20</v>
      </c>
      <c r="C24" s="48">
        <v>9.1999999999999998E-2</v>
      </c>
      <c r="D24" s="4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256"/>
      <c r="AH24" s="128" t="e">
        <f t="shared" si="5"/>
        <v>#DIV/0!</v>
      </c>
      <c r="AI24" s="54" t="e">
        <f t="shared" si="6"/>
        <v>#DIV/0!</v>
      </c>
      <c r="AJ24" s="55" t="e">
        <f t="shared" si="7"/>
        <v>#DIV/0!</v>
      </c>
      <c r="AK24" s="344" t="e">
        <f>100*STDEV(D24,G24,J24,M24,P24,S24,V24,Y24,AB24,AE24)/$C$24</f>
        <v>#DIV/0!</v>
      </c>
      <c r="AL24" s="54" t="e">
        <f>100*STDEV(E24,H24,K24,N24,Q24,T24,W24,Z24,AC24,AF24)/$C$24</f>
        <v>#DIV/0!</v>
      </c>
      <c r="AM24" s="55" t="e">
        <f>100*STDEV(F24,I24,L24,O24,R24,U24,X24,AA24,AD24,AG24)/$C$24</f>
        <v>#DIV/0!</v>
      </c>
      <c r="AN24" s="44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256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256"/>
      <c r="BR24" s="128" t="e">
        <f t="shared" si="8"/>
        <v>#DIV/0!</v>
      </c>
      <c r="BS24" s="54" t="e">
        <f t="shared" si="9"/>
        <v>#DIV/0!</v>
      </c>
      <c r="BT24" s="55" t="e">
        <f t="shared" si="10"/>
        <v>#DIV/0!</v>
      </c>
      <c r="BU24" s="344" t="e">
        <f>100*STDEV(AN24,AQ24,AT24,AW24,AZ24,BC24,BF24,BI24,BL24,BO24)/$C$24</f>
        <v>#DIV/0!</v>
      </c>
      <c r="BV24" s="54" t="e">
        <f>100*STDEV(AO24,AR24,AU24,AX24,BA24,BD24,BG24,BJ24,BM24,BP24)/$C$24</f>
        <v>#DIV/0!</v>
      </c>
      <c r="BW24" s="55" t="e">
        <f>100*STDEV(AP24,AS24,AV24,AY24,BB24,BE24,BH24,BK24,BN24,BQ24)/$C$24</f>
        <v>#DIV/0!</v>
      </c>
      <c r="BX24" s="167" t="e">
        <f t="shared" si="11"/>
        <v>#DIV/0!</v>
      </c>
      <c r="BY24" s="165" t="e">
        <f t="shared" si="0"/>
        <v>#DIV/0!</v>
      </c>
      <c r="BZ24" s="166" t="e">
        <f t="shared" si="1"/>
        <v>#DIV/0!</v>
      </c>
      <c r="CA24" s="164" t="e">
        <f t="shared" si="2"/>
        <v>#DIV/0!</v>
      </c>
      <c r="CB24" s="165" t="e">
        <f t="shared" si="3"/>
        <v>#DIV/0!</v>
      </c>
      <c r="CC24" s="166" t="e">
        <f t="shared" si="4"/>
        <v>#DIV/0!</v>
      </c>
    </row>
    <row r="25" spans="2:81" ht="15" customHeight="1">
      <c r="B25" s="50">
        <v>21</v>
      </c>
      <c r="C25" s="48">
        <v>0.10714</v>
      </c>
      <c r="D25" s="4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256"/>
      <c r="AH25" s="128" t="e">
        <f t="shared" si="5"/>
        <v>#DIV/0!</v>
      </c>
      <c r="AI25" s="54" t="e">
        <f t="shared" si="6"/>
        <v>#DIV/0!</v>
      </c>
      <c r="AJ25" s="55" t="e">
        <f t="shared" si="7"/>
        <v>#DIV/0!</v>
      </c>
      <c r="AK25" s="344" t="e">
        <f>100*STDEV(D25,G25,J25,M25,P25,S25,V25,Y25,AB25,AE25)/$C$25</f>
        <v>#DIV/0!</v>
      </c>
      <c r="AL25" s="54" t="e">
        <f>100*STDEV(E25,H25,K25,N25,Q25,T25,W25,Z25,AC25,AF25)/$C$25</f>
        <v>#DIV/0!</v>
      </c>
      <c r="AM25" s="55" t="e">
        <f>100*STDEV(F25,I25,L25,O25,R25,U25,X25,AA25,AD25,AG25)/$C$25</f>
        <v>#DIV/0!</v>
      </c>
      <c r="AN25" s="44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256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256"/>
      <c r="BR25" s="128" t="e">
        <f t="shared" si="8"/>
        <v>#DIV/0!</v>
      </c>
      <c r="BS25" s="54" t="e">
        <f t="shared" si="9"/>
        <v>#DIV/0!</v>
      </c>
      <c r="BT25" s="55" t="e">
        <f t="shared" si="10"/>
        <v>#DIV/0!</v>
      </c>
      <c r="BU25" s="344" t="e">
        <f>100*STDEV(AN25,AQ25,AT25,AW25,AZ25,BC25,BF25,BI25,BL25,BO25)/$C$25</f>
        <v>#DIV/0!</v>
      </c>
      <c r="BV25" s="54" t="e">
        <f>100*STDEV(AO25,AR25,AU25,AX25,BA25,BD25,BG25,BJ25,BM25,BP25)/$C$25</f>
        <v>#DIV/0!</v>
      </c>
      <c r="BW25" s="55" t="e">
        <f>100*STDEV(AP25,AS25,AV25,AY25,BB25,BE25,BH25,BK25,BN25,BQ25)/$C$25</f>
        <v>#DIV/0!</v>
      </c>
      <c r="BX25" s="167" t="e">
        <f t="shared" si="11"/>
        <v>#DIV/0!</v>
      </c>
      <c r="BY25" s="165" t="e">
        <f t="shared" si="0"/>
        <v>#DIV/0!</v>
      </c>
      <c r="BZ25" s="166" t="e">
        <f t="shared" si="1"/>
        <v>#DIV/0!</v>
      </c>
      <c r="CA25" s="164" t="e">
        <f t="shared" si="2"/>
        <v>#DIV/0!</v>
      </c>
      <c r="CB25" s="165" t="e">
        <f t="shared" si="3"/>
        <v>#DIV/0!</v>
      </c>
      <c r="CC25" s="166" t="e">
        <f t="shared" si="4"/>
        <v>#DIV/0!</v>
      </c>
    </row>
    <row r="26" spans="2:81" ht="15" customHeight="1">
      <c r="B26" s="50">
        <v>22</v>
      </c>
      <c r="C26" s="48">
        <v>8.3640000000000006E-2</v>
      </c>
      <c r="D26" s="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256"/>
      <c r="AH26" s="128" t="e">
        <f t="shared" si="5"/>
        <v>#DIV/0!</v>
      </c>
      <c r="AI26" s="54" t="e">
        <f t="shared" si="6"/>
        <v>#DIV/0!</v>
      </c>
      <c r="AJ26" s="55" t="e">
        <f t="shared" si="7"/>
        <v>#DIV/0!</v>
      </c>
      <c r="AK26" s="344" t="e">
        <f>100*STDEV(D26,G26,J26,M26,P26,S26,V26,Y26,AB26,AE26)/$C$26</f>
        <v>#DIV/0!</v>
      </c>
      <c r="AL26" s="54" t="e">
        <f>100*STDEV(E26,H26,K26,N26,Q26,T26,W26,Z26,AC26,AF26)/$C$26</f>
        <v>#DIV/0!</v>
      </c>
      <c r="AM26" s="55" t="e">
        <f>100*STDEV(F26,I26,L26,O26,R26,U26,X26,AA26,AD26,AG26)/$C$26</f>
        <v>#DIV/0!</v>
      </c>
      <c r="AN26" s="44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256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256"/>
      <c r="BR26" s="128" t="e">
        <f t="shared" si="8"/>
        <v>#DIV/0!</v>
      </c>
      <c r="BS26" s="54" t="e">
        <f t="shared" si="9"/>
        <v>#DIV/0!</v>
      </c>
      <c r="BT26" s="55" t="e">
        <f t="shared" si="10"/>
        <v>#DIV/0!</v>
      </c>
      <c r="BU26" s="344" t="e">
        <f>100*STDEV(AN26,AQ26,AT26,AW26,AZ26,BC26,BF26,BI26,BL26,BO26)/$C$26</f>
        <v>#DIV/0!</v>
      </c>
      <c r="BV26" s="54" t="e">
        <f>100*STDEV(AO26,AR26,AU26,AX26,BA26,BD26,BG26,BJ26,BM26,BP26)/$C$26</f>
        <v>#DIV/0!</v>
      </c>
      <c r="BW26" s="55" t="e">
        <f>100*STDEV(AP26,AS26,AV26,AY26,BB26,BE26,BH26,BK26,BN26,BQ26)/$C$26</f>
        <v>#DIV/0!</v>
      </c>
      <c r="BX26" s="167" t="e">
        <f t="shared" si="11"/>
        <v>#DIV/0!</v>
      </c>
      <c r="BY26" s="165" t="e">
        <f t="shared" si="0"/>
        <v>#DIV/0!</v>
      </c>
      <c r="BZ26" s="166" t="e">
        <f t="shared" si="1"/>
        <v>#DIV/0!</v>
      </c>
      <c r="CA26" s="164" t="e">
        <f t="shared" si="2"/>
        <v>#DIV/0!</v>
      </c>
      <c r="CB26" s="165" t="e">
        <f t="shared" si="3"/>
        <v>#DIV/0!</v>
      </c>
      <c r="CC26" s="166" t="e">
        <f t="shared" si="4"/>
        <v>#DIV/0!</v>
      </c>
    </row>
    <row r="27" spans="2:81" ht="15" customHeight="1">
      <c r="B27" s="50">
        <v>23</v>
      </c>
      <c r="C27" s="48">
        <v>9.783E-2</v>
      </c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256"/>
      <c r="AH27" s="128" t="e">
        <f t="shared" si="5"/>
        <v>#DIV/0!</v>
      </c>
      <c r="AI27" s="54" t="e">
        <f t="shared" si="6"/>
        <v>#DIV/0!</v>
      </c>
      <c r="AJ27" s="55" t="e">
        <f t="shared" si="7"/>
        <v>#DIV/0!</v>
      </c>
      <c r="AK27" s="344" t="e">
        <f>100*STDEV(D27,G27,J27,M27,P27,S27,V27,Y27,AB27,AE27)/$C$27</f>
        <v>#DIV/0!</v>
      </c>
      <c r="AL27" s="54" t="e">
        <f>100*STDEV(E27,H27,K27,N27,Q27,T27,W27,Z27,AC27,AF27)/$C$27</f>
        <v>#DIV/0!</v>
      </c>
      <c r="AM27" s="55" t="e">
        <f>100*STDEV(F27,I27,L27,O27,R27,U27,X27,AA27,AD27,AG27)/$C$27</f>
        <v>#DIV/0!</v>
      </c>
      <c r="AN27" s="44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256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256"/>
      <c r="BR27" s="128" t="e">
        <f t="shared" si="8"/>
        <v>#DIV/0!</v>
      </c>
      <c r="BS27" s="54" t="e">
        <f t="shared" si="9"/>
        <v>#DIV/0!</v>
      </c>
      <c r="BT27" s="55" t="e">
        <f t="shared" si="10"/>
        <v>#DIV/0!</v>
      </c>
      <c r="BU27" s="344" t="e">
        <f>100*STDEV(AN27,AQ27,AT27,AW27,AZ27,BC27,BF27,BI27,BL27,BO27)/$C$27</f>
        <v>#DIV/0!</v>
      </c>
      <c r="BV27" s="54" t="e">
        <f>100*STDEV(AO27,AR27,AU27,AX27,BA27,BD27,BG27,BJ27,BM27,BP27)/$C$27</f>
        <v>#DIV/0!</v>
      </c>
      <c r="BW27" s="55" t="e">
        <f>100*STDEV(AP27,AS27,AV27,AY27,BB27,BE27,BH27,BK27,BN27,BQ27)/$C$27</f>
        <v>#DIV/0!</v>
      </c>
      <c r="BX27" s="167" t="e">
        <f t="shared" si="11"/>
        <v>#DIV/0!</v>
      </c>
      <c r="BY27" s="165" t="e">
        <f t="shared" si="0"/>
        <v>#DIV/0!</v>
      </c>
      <c r="BZ27" s="166" t="e">
        <f t="shared" si="1"/>
        <v>#DIV/0!</v>
      </c>
      <c r="CA27" s="164" t="e">
        <f t="shared" si="2"/>
        <v>#DIV/0!</v>
      </c>
      <c r="CB27" s="165" t="e">
        <f t="shared" si="3"/>
        <v>#DIV/0!</v>
      </c>
      <c r="CC27" s="166" t="e">
        <f t="shared" si="4"/>
        <v>#DIV/0!</v>
      </c>
    </row>
    <row r="28" spans="2:81" ht="15" customHeight="1">
      <c r="B28" s="50">
        <v>24</v>
      </c>
      <c r="C28" s="48">
        <v>7.6670000000000002E-2</v>
      </c>
      <c r="D28" s="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256"/>
      <c r="AH28" s="128" t="e">
        <f t="shared" si="5"/>
        <v>#DIV/0!</v>
      </c>
      <c r="AI28" s="54" t="e">
        <f t="shared" si="6"/>
        <v>#DIV/0!</v>
      </c>
      <c r="AJ28" s="55" t="e">
        <f t="shared" si="7"/>
        <v>#DIV/0!</v>
      </c>
      <c r="AK28" s="344" t="e">
        <f>100*STDEV(D28,G28,J28,M28,P28,S28,V28,Y28,AB28,AE28)/$C$28</f>
        <v>#DIV/0!</v>
      </c>
      <c r="AL28" s="54" t="e">
        <f>100*STDEV(E28,H28,K28,N28,Q28,T28,W28,Z28,AC28,AF28)/$C$28</f>
        <v>#DIV/0!</v>
      </c>
      <c r="AM28" s="55" t="e">
        <f>100*STDEV(F28,I28,L28,O28,R28,U28,X28,AA28,AD28,AG28)/$C$28</f>
        <v>#DIV/0!</v>
      </c>
      <c r="AN28" s="44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256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256"/>
      <c r="BR28" s="128" t="e">
        <f t="shared" si="8"/>
        <v>#DIV/0!</v>
      </c>
      <c r="BS28" s="54" t="e">
        <f t="shared" si="9"/>
        <v>#DIV/0!</v>
      </c>
      <c r="BT28" s="55" t="e">
        <f t="shared" si="10"/>
        <v>#DIV/0!</v>
      </c>
      <c r="BU28" s="344" t="e">
        <f>100*STDEV(AN28,AQ28,AT28,AW28,AZ28,BC28,BF28,BI28,BL28,BO28)/$C$28</f>
        <v>#DIV/0!</v>
      </c>
      <c r="BV28" s="54" t="e">
        <f>100*STDEV(AO28,AR28,AU28,AX28,BA28,BD28,BG28,BJ28,BM28,BP28)/$C$28</f>
        <v>#DIV/0!</v>
      </c>
      <c r="BW28" s="55" t="e">
        <f>100*STDEV(AP28,AS28,AV28,AY28,BB28,BE28,BH28,BK28,BN28,BQ28)/$C$28</f>
        <v>#DIV/0!</v>
      </c>
      <c r="BX28" s="167" t="e">
        <f t="shared" si="11"/>
        <v>#DIV/0!</v>
      </c>
      <c r="BY28" s="165" t="e">
        <f t="shared" si="0"/>
        <v>#DIV/0!</v>
      </c>
      <c r="BZ28" s="166" t="e">
        <f t="shared" si="1"/>
        <v>#DIV/0!</v>
      </c>
      <c r="CA28" s="164" t="e">
        <f t="shared" si="2"/>
        <v>#DIV/0!</v>
      </c>
      <c r="CB28" s="165" t="e">
        <f t="shared" si="3"/>
        <v>#DIV/0!</v>
      </c>
      <c r="CC28" s="166" t="e">
        <f t="shared" si="4"/>
        <v>#DIV/0!</v>
      </c>
    </row>
    <row r="29" spans="2:81" ht="15" customHeight="1">
      <c r="B29" s="50">
        <v>25</v>
      </c>
      <c r="C29" s="48">
        <v>0.09</v>
      </c>
      <c r="D29" s="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256"/>
      <c r="AH29" s="128" t="e">
        <f t="shared" si="5"/>
        <v>#DIV/0!</v>
      </c>
      <c r="AI29" s="54" t="e">
        <f t="shared" si="6"/>
        <v>#DIV/0!</v>
      </c>
      <c r="AJ29" s="55" t="e">
        <f t="shared" si="7"/>
        <v>#DIV/0!</v>
      </c>
      <c r="AK29" s="344" t="e">
        <f>100*STDEV(D29,G29,J29,M29,P29,S29,V29,Y29,AB29,AE29)/$C$29</f>
        <v>#DIV/0!</v>
      </c>
      <c r="AL29" s="54" t="e">
        <f>100*STDEV(E29,H29,K29,N29,Q29,T29,W29,Z29,AC29,AF29)/$C$29</f>
        <v>#DIV/0!</v>
      </c>
      <c r="AM29" s="55" t="e">
        <f>100*STDEV(F29,I29,L29,O29,R29,U29,X29,AA29,AD29,AG29)/$C$29</f>
        <v>#DIV/0!</v>
      </c>
      <c r="AN29" s="44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256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256"/>
      <c r="BR29" s="128" t="e">
        <f t="shared" si="8"/>
        <v>#DIV/0!</v>
      </c>
      <c r="BS29" s="54" t="e">
        <f t="shared" si="9"/>
        <v>#DIV/0!</v>
      </c>
      <c r="BT29" s="55" t="e">
        <f t="shared" si="10"/>
        <v>#DIV/0!</v>
      </c>
      <c r="BU29" s="344" t="e">
        <f>100*STDEV(AN29,AQ29,AT29,AW29,AZ29,BC29,BF29,BI29,BL29,BO29)/$C$29</f>
        <v>#DIV/0!</v>
      </c>
      <c r="BV29" s="54" t="e">
        <f>100*STDEV(AO29,AR29,AU29,AX29,BA29,BD29,BG29,BJ29,BM29,BP29)/$C$29</f>
        <v>#DIV/0!</v>
      </c>
      <c r="BW29" s="55" t="e">
        <f>100*STDEV(AP29,AS29,AV29,AY29,BB29,BE29,BH29,BK29,BN29,BQ29)/$C$29</f>
        <v>#DIV/0!</v>
      </c>
      <c r="BX29" s="167" t="e">
        <f t="shared" si="11"/>
        <v>#DIV/0!</v>
      </c>
      <c r="BY29" s="165" t="e">
        <f t="shared" si="0"/>
        <v>#DIV/0!</v>
      </c>
      <c r="BZ29" s="166" t="e">
        <f t="shared" si="1"/>
        <v>#DIV/0!</v>
      </c>
      <c r="CA29" s="164" t="e">
        <f t="shared" si="2"/>
        <v>#DIV/0!</v>
      </c>
      <c r="CB29" s="165" t="e">
        <f t="shared" si="3"/>
        <v>#DIV/0!</v>
      </c>
      <c r="CC29" s="166" t="e">
        <f t="shared" si="4"/>
        <v>#DIV/0!</v>
      </c>
    </row>
    <row r="30" spans="2:81" ht="15" customHeight="1">
      <c r="B30" s="50">
        <v>26</v>
      </c>
      <c r="C30" s="48">
        <v>7.077E-2</v>
      </c>
      <c r="D30" s="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256"/>
      <c r="AH30" s="128" t="e">
        <f t="shared" si="5"/>
        <v>#DIV/0!</v>
      </c>
      <c r="AI30" s="54" t="e">
        <f t="shared" si="6"/>
        <v>#DIV/0!</v>
      </c>
      <c r="AJ30" s="55" t="e">
        <f t="shared" si="7"/>
        <v>#DIV/0!</v>
      </c>
      <c r="AK30" s="344" t="e">
        <f>100*STDEV(D30,G30,J30,M30,P30,S30,V30,Y30,AB30,AE30)/$C$30</f>
        <v>#DIV/0!</v>
      </c>
      <c r="AL30" s="54" t="e">
        <f>100*STDEV(E30,H30,K30,N30,Q30,T30,W30,Z30,AC30,AF30)/$C$30</f>
        <v>#DIV/0!</v>
      </c>
      <c r="AM30" s="55" t="e">
        <f>100*STDEV(F30,I30,L30,O30,R30,U30,X30,AA30,AD30,AG30)/$C$30</f>
        <v>#DIV/0!</v>
      </c>
      <c r="AN30" s="44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256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256"/>
      <c r="BR30" s="128" t="e">
        <f t="shared" si="8"/>
        <v>#DIV/0!</v>
      </c>
      <c r="BS30" s="54" t="e">
        <f t="shared" si="9"/>
        <v>#DIV/0!</v>
      </c>
      <c r="BT30" s="55" t="e">
        <f t="shared" si="10"/>
        <v>#DIV/0!</v>
      </c>
      <c r="BU30" s="344" t="e">
        <f>100*STDEV(AN30,AQ30,AT30,AW30,AZ30,BC30,BF30,BI30,BL30,BO30)/$C$30</f>
        <v>#DIV/0!</v>
      </c>
      <c r="BV30" s="54" t="e">
        <f>100*STDEV(AO30,AR30,AU30,AX30,BA30,BD30,BG30,BJ30,BM30,BP30)/$C$30</f>
        <v>#DIV/0!</v>
      </c>
      <c r="BW30" s="55" t="e">
        <f>100*STDEV(AP30,AS30,AV30,AY30,BB30,BE30,BH30,BK30,BN30,BQ30)/$C$30</f>
        <v>#DIV/0!</v>
      </c>
      <c r="BX30" s="167" t="e">
        <f t="shared" si="11"/>
        <v>#DIV/0!</v>
      </c>
      <c r="BY30" s="165" t="e">
        <f t="shared" si="0"/>
        <v>#DIV/0!</v>
      </c>
      <c r="BZ30" s="166" t="e">
        <f t="shared" si="1"/>
        <v>#DIV/0!</v>
      </c>
      <c r="CA30" s="164" t="e">
        <f t="shared" si="2"/>
        <v>#DIV/0!</v>
      </c>
      <c r="CB30" s="165" t="e">
        <f t="shared" si="3"/>
        <v>#DIV/0!</v>
      </c>
      <c r="CC30" s="166" t="e">
        <f t="shared" si="4"/>
        <v>#DIV/0!</v>
      </c>
    </row>
    <row r="31" spans="2:81" ht="15" customHeight="1">
      <c r="B31" s="50">
        <v>27</v>
      </c>
      <c r="C31" s="48">
        <v>8.3330000000000001E-2</v>
      </c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256"/>
      <c r="AH31" s="128" t="e">
        <f t="shared" si="5"/>
        <v>#DIV/0!</v>
      </c>
      <c r="AI31" s="54" t="e">
        <f t="shared" si="6"/>
        <v>#DIV/0!</v>
      </c>
      <c r="AJ31" s="55" t="e">
        <f t="shared" si="7"/>
        <v>#DIV/0!</v>
      </c>
      <c r="AK31" s="344" t="e">
        <f>100*STDEV(D31,G31,J31,M31,P31,S31,V31,Y31,AB31,AE31)/$C$31</f>
        <v>#DIV/0!</v>
      </c>
      <c r="AL31" s="54" t="e">
        <f>100*STDEV(E31,H31,K31,N31,Q31,T31,W31,Z31,AC31,AF31)/$C$31</f>
        <v>#DIV/0!</v>
      </c>
      <c r="AM31" s="55" t="e">
        <f>100*STDEV(F31,I31,L31,O31,R31,U31,X31,AA31,AD31,AG31)/$C$31</f>
        <v>#DIV/0!</v>
      </c>
      <c r="AN31" s="44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256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256"/>
      <c r="BR31" s="128" t="e">
        <f t="shared" si="8"/>
        <v>#DIV/0!</v>
      </c>
      <c r="BS31" s="54" t="e">
        <f t="shared" si="9"/>
        <v>#DIV/0!</v>
      </c>
      <c r="BT31" s="55" t="e">
        <f t="shared" si="10"/>
        <v>#DIV/0!</v>
      </c>
      <c r="BU31" s="344" t="e">
        <f>100*STDEV(AN31,AQ31,AT31,AW31,AZ31,BC31,BF31,BI31,BL31,BO31)/$C$31</f>
        <v>#DIV/0!</v>
      </c>
      <c r="BV31" s="54" t="e">
        <f>100*STDEV(AO31,AR31,AU31,AX31,BA31,BD31,BG31,BJ31,BM31,BP31)/$C$31</f>
        <v>#DIV/0!</v>
      </c>
      <c r="BW31" s="55" t="e">
        <f>100*STDEV(AP31,AS31,AV31,AY31,BB31,BE31,BH31,BK31,BN31,BQ31)/$C$31</f>
        <v>#DIV/0!</v>
      </c>
      <c r="BX31" s="167" t="e">
        <f t="shared" si="11"/>
        <v>#DIV/0!</v>
      </c>
      <c r="BY31" s="165" t="e">
        <f t="shared" si="0"/>
        <v>#DIV/0!</v>
      </c>
      <c r="BZ31" s="166" t="e">
        <f t="shared" si="1"/>
        <v>#DIV/0!</v>
      </c>
      <c r="CA31" s="164" t="e">
        <f t="shared" si="2"/>
        <v>#DIV/0!</v>
      </c>
      <c r="CB31" s="165" t="e">
        <f t="shared" si="3"/>
        <v>#DIV/0!</v>
      </c>
      <c r="CC31" s="166" t="e">
        <f t="shared" si="4"/>
        <v>#DIV/0!</v>
      </c>
    </row>
    <row r="32" spans="2:81" ht="15" customHeight="1">
      <c r="B32" s="50">
        <v>28</v>
      </c>
      <c r="C32" s="48">
        <v>6.5710000000000005E-2</v>
      </c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256"/>
      <c r="AH32" s="128" t="e">
        <f t="shared" si="5"/>
        <v>#DIV/0!</v>
      </c>
      <c r="AI32" s="54" t="e">
        <f t="shared" si="6"/>
        <v>#DIV/0!</v>
      </c>
      <c r="AJ32" s="55" t="e">
        <f t="shared" si="7"/>
        <v>#DIV/0!</v>
      </c>
      <c r="AK32" s="344" t="e">
        <f>100*STDEV(D32,G32,J32,M32,P32,S32,V32,Y32,AB32,AE32)/$C$32</f>
        <v>#DIV/0!</v>
      </c>
      <c r="AL32" s="54" t="e">
        <f>100*STDEV(E32,H32,K32,N32,Q32,T32,W32,Z32,AC32,AF32)/$C$32</f>
        <v>#DIV/0!</v>
      </c>
      <c r="AM32" s="55" t="e">
        <f>100*STDEV(F32,I32,L32,O32,R32,U32,X32,AA32,AD32,AG32)/$C$32</f>
        <v>#DIV/0!</v>
      </c>
      <c r="AN32" s="44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256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256"/>
      <c r="BR32" s="128" t="e">
        <f t="shared" si="8"/>
        <v>#DIV/0!</v>
      </c>
      <c r="BS32" s="54" t="e">
        <f t="shared" si="9"/>
        <v>#DIV/0!</v>
      </c>
      <c r="BT32" s="55" t="e">
        <f t="shared" si="10"/>
        <v>#DIV/0!</v>
      </c>
      <c r="BU32" s="344" t="e">
        <f>100*STDEV(AN32,AQ32,AT32,AW32,AZ32,BC32,BF32,BI32,BL32,BO32)/$C$32</f>
        <v>#DIV/0!</v>
      </c>
      <c r="BV32" s="54" t="e">
        <f>100*STDEV(AO32,AR32,AU32,AX32,BA32,BD32,BG32,BJ32,BM32,BP32)/$C$32</f>
        <v>#DIV/0!</v>
      </c>
      <c r="BW32" s="55" t="e">
        <f>100*STDEV(AP32,AS32,AV32,AY32,BB32,BE32,BH32,BK32,BN32,BQ32)/$C$32</f>
        <v>#DIV/0!</v>
      </c>
      <c r="BX32" s="167" t="e">
        <f t="shared" si="11"/>
        <v>#DIV/0!</v>
      </c>
      <c r="BY32" s="165" t="e">
        <f t="shared" si="0"/>
        <v>#DIV/0!</v>
      </c>
      <c r="BZ32" s="166" t="e">
        <f t="shared" si="1"/>
        <v>#DIV/0!</v>
      </c>
      <c r="CA32" s="164" t="e">
        <f t="shared" si="2"/>
        <v>#DIV/0!</v>
      </c>
      <c r="CB32" s="165" t="e">
        <f t="shared" si="3"/>
        <v>#DIV/0!</v>
      </c>
      <c r="CC32" s="166" t="e">
        <f t="shared" si="4"/>
        <v>#DIV/0!</v>
      </c>
    </row>
    <row r="33" spans="2:81" ht="15" customHeight="1">
      <c r="B33" s="50">
        <v>29</v>
      </c>
      <c r="C33" s="48">
        <v>7.7590000000000006E-2</v>
      </c>
      <c r="D33" s="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256"/>
      <c r="AH33" s="128" t="e">
        <f t="shared" si="5"/>
        <v>#DIV/0!</v>
      </c>
      <c r="AI33" s="54" t="e">
        <f t="shared" si="6"/>
        <v>#DIV/0!</v>
      </c>
      <c r="AJ33" s="55" t="e">
        <f t="shared" si="7"/>
        <v>#DIV/0!</v>
      </c>
      <c r="AK33" s="344" t="e">
        <f>100*STDEV(D33,G33,J33,M33,P33,S33,V33,Y33,AB33,AE33)/$C$33</f>
        <v>#DIV/0!</v>
      </c>
      <c r="AL33" s="54" t="e">
        <f>100*STDEV(E33,H33,K33,N33,Q33,T33,W33,Z33,AC33,AF33)/$C$33</f>
        <v>#DIV/0!</v>
      </c>
      <c r="AM33" s="55" t="e">
        <f>100*STDEV(F33,I33,L33,O33,R33,U33,X33,AA33,AD33,AG33)/$C$33</f>
        <v>#DIV/0!</v>
      </c>
      <c r="AN33" s="44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256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256"/>
      <c r="BR33" s="128" t="e">
        <f t="shared" si="8"/>
        <v>#DIV/0!</v>
      </c>
      <c r="BS33" s="54" t="e">
        <f t="shared" si="9"/>
        <v>#DIV/0!</v>
      </c>
      <c r="BT33" s="55" t="e">
        <f t="shared" si="10"/>
        <v>#DIV/0!</v>
      </c>
      <c r="BU33" s="344" t="e">
        <f>100*STDEV(AN33,AQ33,AT33,AW33,AZ33,BC33,BF33,BI33,BL33,BO33)/$C$33</f>
        <v>#DIV/0!</v>
      </c>
      <c r="BV33" s="54" t="e">
        <f>100*STDEV(AO33,AR33,AU33,AX33,BA33,BD33,BG33,BJ33,BM33,BP33)/$C$33</f>
        <v>#DIV/0!</v>
      </c>
      <c r="BW33" s="55" t="e">
        <f>100*STDEV(AP33,AS33,AV33,AY33,BB33,BE33,BH33,BK33,BN33,BQ33)/$C$33</f>
        <v>#DIV/0!</v>
      </c>
      <c r="BX33" s="167" t="e">
        <f t="shared" si="11"/>
        <v>#DIV/0!</v>
      </c>
      <c r="BY33" s="165" t="e">
        <f t="shared" si="0"/>
        <v>#DIV/0!</v>
      </c>
      <c r="BZ33" s="166" t="e">
        <f t="shared" si="1"/>
        <v>#DIV/0!</v>
      </c>
      <c r="CA33" s="164" t="e">
        <f t="shared" si="2"/>
        <v>#DIV/0!</v>
      </c>
      <c r="CB33" s="165" t="e">
        <f t="shared" si="3"/>
        <v>#DIV/0!</v>
      </c>
      <c r="CC33" s="166" t="e">
        <f t="shared" si="4"/>
        <v>#DIV/0!</v>
      </c>
    </row>
    <row r="34" spans="2:81" ht="15" customHeight="1">
      <c r="B34" s="50">
        <v>30</v>
      </c>
      <c r="C34" s="48">
        <v>6.1330000000000003E-2</v>
      </c>
      <c r="D34" s="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256"/>
      <c r="AH34" s="128" t="e">
        <f t="shared" si="5"/>
        <v>#DIV/0!</v>
      </c>
      <c r="AI34" s="54" t="e">
        <f t="shared" si="6"/>
        <v>#DIV/0!</v>
      </c>
      <c r="AJ34" s="55" t="e">
        <f t="shared" si="7"/>
        <v>#DIV/0!</v>
      </c>
      <c r="AK34" s="344" t="e">
        <f>100*STDEV(D34,G34,J34,M34,P34,S34,V34,Y34,AB34,AE34)/$C$34</f>
        <v>#DIV/0!</v>
      </c>
      <c r="AL34" s="54" t="e">
        <f>100*STDEV(E34,H34,K34,N34,Q34,T34,W34,Z34,AC34,AF34)/$C$34</f>
        <v>#DIV/0!</v>
      </c>
      <c r="AM34" s="55" t="e">
        <f>100*STDEV(F34,I34,L34,O34,R34,U34,X34,AA34,AD34,AG34)/$C$34</f>
        <v>#DIV/0!</v>
      </c>
      <c r="AN34" s="44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256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256"/>
      <c r="BR34" s="128" t="e">
        <f t="shared" si="8"/>
        <v>#DIV/0!</v>
      </c>
      <c r="BS34" s="54" t="e">
        <f t="shared" si="9"/>
        <v>#DIV/0!</v>
      </c>
      <c r="BT34" s="55" t="e">
        <f t="shared" si="10"/>
        <v>#DIV/0!</v>
      </c>
      <c r="BU34" s="344" t="e">
        <f>100*STDEV(AN34,AQ34,AT34,AW34,AZ34,BC34,BF34,BI34,BL34,BO34)/$C$34</f>
        <v>#DIV/0!</v>
      </c>
      <c r="BV34" s="54" t="e">
        <f>100*STDEV(AO34,AR34,AU34,AX34,BA34,BD34,BG34,BJ34,BM34,BP34)/$C$34</f>
        <v>#DIV/0!</v>
      </c>
      <c r="BW34" s="55" t="e">
        <f>100*STDEV(AP34,AS34,AV34,AY34,BB34,BE34,BH34,BK34,BN34,BQ34)/$C$34</f>
        <v>#DIV/0!</v>
      </c>
      <c r="BX34" s="167" t="e">
        <f t="shared" si="11"/>
        <v>#DIV/0!</v>
      </c>
      <c r="BY34" s="165" t="e">
        <f t="shared" si="0"/>
        <v>#DIV/0!</v>
      </c>
      <c r="BZ34" s="166" t="e">
        <f t="shared" si="1"/>
        <v>#DIV/0!</v>
      </c>
      <c r="CA34" s="164" t="e">
        <f t="shared" si="2"/>
        <v>#DIV/0!</v>
      </c>
      <c r="CB34" s="165" t="e">
        <f t="shared" si="3"/>
        <v>#DIV/0!</v>
      </c>
      <c r="CC34" s="166" t="e">
        <f t="shared" si="4"/>
        <v>#DIV/0!</v>
      </c>
    </row>
    <row r="35" spans="2:81" ht="15" customHeight="1">
      <c r="B35" s="50">
        <v>31</v>
      </c>
      <c r="C35" s="48">
        <v>7.2580000000000006E-2</v>
      </c>
      <c r="D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256"/>
      <c r="AH35" s="128" t="e">
        <f t="shared" si="5"/>
        <v>#DIV/0!</v>
      </c>
      <c r="AI35" s="54" t="e">
        <f t="shared" si="6"/>
        <v>#DIV/0!</v>
      </c>
      <c r="AJ35" s="55" t="e">
        <f t="shared" si="7"/>
        <v>#DIV/0!</v>
      </c>
      <c r="AK35" s="344" t="e">
        <f>100*STDEV(D35,G35,J35,M35,P35,S35,V35,Y35,AB35,AE35)/$C$35</f>
        <v>#DIV/0!</v>
      </c>
      <c r="AL35" s="54" t="e">
        <f>100*STDEV(E35,H35,K35,N35,Q35,T35,W35,Z35,AC35,AF35)/$C$35</f>
        <v>#DIV/0!</v>
      </c>
      <c r="AM35" s="55" t="e">
        <f>100*STDEV(F35,I35,L35,O35,R35,U35,X35,AA35,AD35,AG35)/$C$35</f>
        <v>#DIV/0!</v>
      </c>
      <c r="AN35" s="44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256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256"/>
      <c r="BR35" s="128" t="e">
        <f t="shared" si="8"/>
        <v>#DIV/0!</v>
      </c>
      <c r="BS35" s="54" t="e">
        <f t="shared" si="9"/>
        <v>#DIV/0!</v>
      </c>
      <c r="BT35" s="55" t="e">
        <f t="shared" si="10"/>
        <v>#DIV/0!</v>
      </c>
      <c r="BU35" s="344" t="e">
        <f>100*STDEV(AN35,AQ35,AT35,AW35,AZ35,BC35,BF35,BI35,BL35,BO35)/$C$35</f>
        <v>#DIV/0!</v>
      </c>
      <c r="BV35" s="54" t="e">
        <f>100*STDEV(AO35,AR35,AU35,AX35,BA35,BD35,BG35,BJ35,BM35,BP35)/$C$35</f>
        <v>#DIV/0!</v>
      </c>
      <c r="BW35" s="55" t="e">
        <f>100*STDEV(AP35,AS35,AV35,AY35,BB35,BE35,BH35,BK35,BN35,BQ35)/$C$35</f>
        <v>#DIV/0!</v>
      </c>
      <c r="BX35" s="167" t="e">
        <f t="shared" si="11"/>
        <v>#DIV/0!</v>
      </c>
      <c r="BY35" s="165" t="e">
        <f t="shared" si="0"/>
        <v>#DIV/0!</v>
      </c>
      <c r="BZ35" s="166" t="e">
        <f t="shared" si="1"/>
        <v>#DIV/0!</v>
      </c>
      <c r="CA35" s="164" t="e">
        <f t="shared" si="2"/>
        <v>#DIV/0!</v>
      </c>
      <c r="CB35" s="165" t="e">
        <f t="shared" si="3"/>
        <v>#DIV/0!</v>
      </c>
      <c r="CC35" s="166" t="e">
        <f t="shared" si="4"/>
        <v>#DIV/0!</v>
      </c>
    </row>
    <row r="36" spans="2:81" ht="15" customHeight="1">
      <c r="B36" s="50">
        <v>32</v>
      </c>
      <c r="C36" s="48">
        <v>5.7500000000000002E-2</v>
      </c>
      <c r="D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256"/>
      <c r="AH36" s="128" t="e">
        <f t="shared" si="5"/>
        <v>#DIV/0!</v>
      </c>
      <c r="AI36" s="54" t="e">
        <f t="shared" si="6"/>
        <v>#DIV/0!</v>
      </c>
      <c r="AJ36" s="55" t="e">
        <f t="shared" si="7"/>
        <v>#DIV/0!</v>
      </c>
      <c r="AK36" s="344" t="e">
        <f>100*STDEV(D36,G36,J36,M36,P36,S36,V36,Y36,AB36,AE36)/$C$36</f>
        <v>#DIV/0!</v>
      </c>
      <c r="AL36" s="54" t="e">
        <f>100*STDEV(E36,H36,K36,N36,Q36,T36,W36,Z36,AC36,AF36)/$C$36</f>
        <v>#DIV/0!</v>
      </c>
      <c r="AM36" s="55" t="e">
        <f>100*STDEV(F36,I36,L36,O36,R36,U36,X36,AA36,AD36,AG36)/$C$36</f>
        <v>#DIV/0!</v>
      </c>
      <c r="AN36" s="44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256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256"/>
      <c r="BR36" s="128" t="e">
        <f t="shared" si="8"/>
        <v>#DIV/0!</v>
      </c>
      <c r="BS36" s="54" t="e">
        <f t="shared" si="9"/>
        <v>#DIV/0!</v>
      </c>
      <c r="BT36" s="55" t="e">
        <f t="shared" si="10"/>
        <v>#DIV/0!</v>
      </c>
      <c r="BU36" s="344" t="e">
        <f>100*STDEV(AN36,AQ36,AT36,AW36,AZ36,BC36,BF36,BI36,BL36,BO36)/$C$36</f>
        <v>#DIV/0!</v>
      </c>
      <c r="BV36" s="54" t="e">
        <f>100*STDEV(AO36,AR36,AU36,AX36,BA36,BD36,BG36,BJ36,BM36,BP36)/$C$36</f>
        <v>#DIV/0!</v>
      </c>
      <c r="BW36" s="55" t="e">
        <f>100*STDEV(AP36,AS36,AV36,AY36,BB36,BE36,BH36,BK36,BN36,BQ36)/$C$36</f>
        <v>#DIV/0!</v>
      </c>
      <c r="BX36" s="167" t="e">
        <f t="shared" si="11"/>
        <v>#DIV/0!</v>
      </c>
      <c r="BY36" s="165" t="e">
        <f t="shared" si="0"/>
        <v>#DIV/0!</v>
      </c>
      <c r="BZ36" s="166" t="e">
        <f t="shared" si="1"/>
        <v>#DIV/0!</v>
      </c>
      <c r="CA36" s="164" t="e">
        <f t="shared" si="2"/>
        <v>#DIV/0!</v>
      </c>
      <c r="CB36" s="165" t="e">
        <f t="shared" si="3"/>
        <v>#DIV/0!</v>
      </c>
      <c r="CC36" s="166" t="e">
        <f t="shared" si="4"/>
        <v>#DIV/0!</v>
      </c>
    </row>
    <row r="37" spans="2:81" ht="15" customHeight="1">
      <c r="B37" s="50">
        <v>33</v>
      </c>
      <c r="C37" s="48">
        <v>6.8180000000000004E-2</v>
      </c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256"/>
      <c r="AH37" s="128" t="e">
        <f t="shared" si="5"/>
        <v>#DIV/0!</v>
      </c>
      <c r="AI37" s="54" t="e">
        <f t="shared" si="6"/>
        <v>#DIV/0!</v>
      </c>
      <c r="AJ37" s="55" t="e">
        <f t="shared" si="7"/>
        <v>#DIV/0!</v>
      </c>
      <c r="AK37" s="344" t="e">
        <f>100*STDEV(D37,G37,J37,M37,P37,S37,V37,Y37,AB37,AE37)/$C$37</f>
        <v>#DIV/0!</v>
      </c>
      <c r="AL37" s="54" t="e">
        <f>100*STDEV(E37,H37,K37,N37,Q37,T37,W37,Z37,AC37,AF37)/$C$37</f>
        <v>#DIV/0!</v>
      </c>
      <c r="AM37" s="55" t="e">
        <f>100*STDEV(F37,I37,L37,O37,R37,U37,X37,AA37,AD37,AG37)/$C$37</f>
        <v>#DIV/0!</v>
      </c>
      <c r="AN37" s="44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256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256"/>
      <c r="BR37" s="128" t="e">
        <f t="shared" si="8"/>
        <v>#DIV/0!</v>
      </c>
      <c r="BS37" s="54" t="e">
        <f t="shared" si="9"/>
        <v>#DIV/0!</v>
      </c>
      <c r="BT37" s="55" t="e">
        <f t="shared" si="10"/>
        <v>#DIV/0!</v>
      </c>
      <c r="BU37" s="344" t="e">
        <f>100*STDEV(AN37,AQ37,AT37,AW37,AZ37,BC37,BF37,BI37,BL37,BO37)/$C$37</f>
        <v>#DIV/0!</v>
      </c>
      <c r="BV37" s="54" t="e">
        <f>100*STDEV(AO37,AR37,AU37,AX37,BA37,BD37,BG37,BJ37,BM37,BP37)/$C$37</f>
        <v>#DIV/0!</v>
      </c>
      <c r="BW37" s="55" t="e">
        <f>100*STDEV(AP37,AS37,AV37,AY37,BB37,BE37,BH37,BK37,BN37,BQ37)/$C$37</f>
        <v>#DIV/0!</v>
      </c>
      <c r="BX37" s="167" t="e">
        <f t="shared" ref="BX37:BX54" si="12">(AH37-C37)*1000</f>
        <v>#DIV/0!</v>
      </c>
      <c r="BY37" s="165" t="e">
        <f t="shared" ref="BY37:BY54" si="13">(AI37-C37)*1000</f>
        <v>#DIV/0!</v>
      </c>
      <c r="BZ37" s="166" t="e">
        <f t="shared" ref="BZ37:BZ54" si="14">(AJ37-C37)*1000</f>
        <v>#DIV/0!</v>
      </c>
      <c r="CA37" s="164" t="e">
        <f t="shared" ref="CA37:CA54" si="15">(BR37-C37)*1000</f>
        <v>#DIV/0!</v>
      </c>
      <c r="CB37" s="165" t="e">
        <f t="shared" ref="CB37:CB54" si="16">(BS37-C37)*1000</f>
        <v>#DIV/0!</v>
      </c>
      <c r="CC37" s="166" t="e">
        <f t="shared" ref="CC37:CC54" si="17">(BT37-C37)*1000</f>
        <v>#DIV/0!</v>
      </c>
    </row>
    <row r="38" spans="2:81" ht="15" customHeight="1">
      <c r="B38" s="50">
        <v>34</v>
      </c>
      <c r="C38" s="48">
        <v>5.4120000000000001E-2</v>
      </c>
      <c r="D38" s="4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256"/>
      <c r="AH38" s="128" t="e">
        <f t="shared" si="5"/>
        <v>#DIV/0!</v>
      </c>
      <c r="AI38" s="54" t="e">
        <f t="shared" si="6"/>
        <v>#DIV/0!</v>
      </c>
      <c r="AJ38" s="55" t="e">
        <f t="shared" si="7"/>
        <v>#DIV/0!</v>
      </c>
      <c r="AK38" s="344" t="e">
        <f>100*STDEV(D38,G38,J38,M38,P38,S38,V38,Y38,AB38,AE38)/$C$38</f>
        <v>#DIV/0!</v>
      </c>
      <c r="AL38" s="54" t="e">
        <f>100*STDEV(E38,H38,K38,N38,Q38,T38,W38,Z38,AC38,AF38)/$C$38</f>
        <v>#DIV/0!</v>
      </c>
      <c r="AM38" s="55" t="e">
        <f>100*STDEV(F38,I38,L38,O38,R38,U38,X38,AA38,AD38,AG38)/$C$38</f>
        <v>#DIV/0!</v>
      </c>
      <c r="AN38" s="44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256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256"/>
      <c r="BR38" s="128" t="e">
        <f t="shared" si="8"/>
        <v>#DIV/0!</v>
      </c>
      <c r="BS38" s="54" t="e">
        <f t="shared" si="9"/>
        <v>#DIV/0!</v>
      </c>
      <c r="BT38" s="55" t="e">
        <f t="shared" si="10"/>
        <v>#DIV/0!</v>
      </c>
      <c r="BU38" s="344" t="e">
        <f>100*STDEV(AN38,AQ38,AT38,AW38,AZ38,BC38,BF38,BI38,BL38,BO38)/$C$38</f>
        <v>#DIV/0!</v>
      </c>
      <c r="BV38" s="54" t="e">
        <f>100*STDEV(AO38,AR38,AU38,AX38,BA38,BD38,BG38,BJ38,BM38,BP38)/$C$38</f>
        <v>#DIV/0!</v>
      </c>
      <c r="BW38" s="55" t="e">
        <f>100*STDEV(AP38,AS38,AV38,AY38,BB38,BE38,BH38,BK38,BN38,BQ38)/$C$38</f>
        <v>#DIV/0!</v>
      </c>
      <c r="BX38" s="167" t="e">
        <f t="shared" si="12"/>
        <v>#DIV/0!</v>
      </c>
      <c r="BY38" s="165" t="e">
        <f t="shared" si="13"/>
        <v>#DIV/0!</v>
      </c>
      <c r="BZ38" s="166" t="e">
        <f t="shared" si="14"/>
        <v>#DIV/0!</v>
      </c>
      <c r="CA38" s="164" t="e">
        <f t="shared" si="15"/>
        <v>#DIV/0!</v>
      </c>
      <c r="CB38" s="165" t="e">
        <f t="shared" si="16"/>
        <v>#DIV/0!</v>
      </c>
      <c r="CC38" s="166" t="e">
        <f t="shared" si="17"/>
        <v>#DIV/0!</v>
      </c>
    </row>
    <row r="39" spans="2:81" ht="15" customHeight="1">
      <c r="B39" s="50">
        <v>35</v>
      </c>
      <c r="C39" s="48">
        <v>6.429E-2</v>
      </c>
      <c r="D39" s="4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256"/>
      <c r="AH39" s="128" t="e">
        <f t="shared" si="5"/>
        <v>#DIV/0!</v>
      </c>
      <c r="AI39" s="54" t="e">
        <f t="shared" si="6"/>
        <v>#DIV/0!</v>
      </c>
      <c r="AJ39" s="55" t="e">
        <f t="shared" si="7"/>
        <v>#DIV/0!</v>
      </c>
      <c r="AK39" s="344" t="e">
        <f>100*STDEV(D39,G39,J39,M39,P39,S39,V39,Y39,AB39,AE39)/$C$39</f>
        <v>#DIV/0!</v>
      </c>
      <c r="AL39" s="54" t="e">
        <f>100*STDEV(E39,H39,K39,N39,Q39,T39,W39,Z39,AC39,AF39)/$C$39</f>
        <v>#DIV/0!</v>
      </c>
      <c r="AM39" s="55" t="e">
        <f>100*STDEV(F39,I39,L39,O39,R39,U39,X39,AA39,AD39,AG39)/$C$39</f>
        <v>#DIV/0!</v>
      </c>
      <c r="AN39" s="44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256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256"/>
      <c r="BR39" s="128" t="e">
        <f t="shared" si="8"/>
        <v>#DIV/0!</v>
      </c>
      <c r="BS39" s="54" t="e">
        <f t="shared" si="9"/>
        <v>#DIV/0!</v>
      </c>
      <c r="BT39" s="55" t="e">
        <f t="shared" si="10"/>
        <v>#DIV/0!</v>
      </c>
      <c r="BU39" s="344" t="e">
        <f>100*STDEV(AN39,AQ39,AT39,AW39,AZ39,BC39,BF39,BI39,BL39,BO39)/$C$39</f>
        <v>#DIV/0!</v>
      </c>
      <c r="BV39" s="54" t="e">
        <f>100*STDEV(AO39,AR39,AU39,AX39,BA39,BD39,BG39,BJ39,BM39,BP39)/$C$39</f>
        <v>#DIV/0!</v>
      </c>
      <c r="BW39" s="55" t="e">
        <f>100*STDEV(AP39,AS39,AV39,AY39,BB39,BE39,BH39,BK39,BN39,BQ39)/$C$39</f>
        <v>#DIV/0!</v>
      </c>
      <c r="BX39" s="167" t="e">
        <f t="shared" si="12"/>
        <v>#DIV/0!</v>
      </c>
      <c r="BY39" s="165" t="e">
        <f t="shared" si="13"/>
        <v>#DIV/0!</v>
      </c>
      <c r="BZ39" s="166" t="e">
        <f t="shared" si="14"/>
        <v>#DIV/0!</v>
      </c>
      <c r="CA39" s="164" t="e">
        <f t="shared" si="15"/>
        <v>#DIV/0!</v>
      </c>
      <c r="CB39" s="165" t="e">
        <f t="shared" si="16"/>
        <v>#DIV/0!</v>
      </c>
      <c r="CC39" s="166" t="e">
        <f t="shared" si="17"/>
        <v>#DIV/0!</v>
      </c>
    </row>
    <row r="40" spans="2:81" ht="15" customHeight="1">
      <c r="B40" s="50">
        <v>36</v>
      </c>
      <c r="C40" s="48">
        <v>5.1110000000000003E-2</v>
      </c>
      <c r="D40" s="4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256"/>
      <c r="AH40" s="128" t="e">
        <f t="shared" si="5"/>
        <v>#DIV/0!</v>
      </c>
      <c r="AI40" s="54" t="e">
        <f t="shared" si="6"/>
        <v>#DIV/0!</v>
      </c>
      <c r="AJ40" s="55" t="e">
        <f t="shared" si="7"/>
        <v>#DIV/0!</v>
      </c>
      <c r="AK40" s="344" t="e">
        <f>100*STDEV(D40,G40,J40,M40,P40,S40,V40,Y40,AB40,AE40)/$C$40</f>
        <v>#DIV/0!</v>
      </c>
      <c r="AL40" s="54" t="e">
        <f>100*STDEV(E40,H40,K40,N40,Q40,T40,W40,Z40,AC40,AF40)/$C$40</f>
        <v>#DIV/0!</v>
      </c>
      <c r="AM40" s="55" t="e">
        <f>100*STDEV(F40,I40,L40,O40,R40,U40,X40,AA40,AD40,AG40)/$C$40</f>
        <v>#DIV/0!</v>
      </c>
      <c r="AN40" s="44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256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256"/>
      <c r="BR40" s="128" t="e">
        <f t="shared" si="8"/>
        <v>#DIV/0!</v>
      </c>
      <c r="BS40" s="54" t="e">
        <f t="shared" si="9"/>
        <v>#DIV/0!</v>
      </c>
      <c r="BT40" s="55" t="e">
        <f t="shared" si="10"/>
        <v>#DIV/0!</v>
      </c>
      <c r="BU40" s="344" t="e">
        <f>100*STDEV(AN40,AQ40,AT40,AW40,AZ40,BC40,BF40,BI40,BL40,BO40)/$C$40</f>
        <v>#DIV/0!</v>
      </c>
      <c r="BV40" s="54" t="e">
        <f>100*STDEV(AO40,AR40,AU40,AX40,BA40,BD40,BG40,BJ40,BM40,BP40)/$C$40</f>
        <v>#DIV/0!</v>
      </c>
      <c r="BW40" s="55" t="e">
        <f>100*STDEV(AP40,AS40,AV40,AY40,BB40,BE40,BH40,BK40,BN40,BQ40)/$C$40</f>
        <v>#DIV/0!</v>
      </c>
      <c r="BX40" s="167" t="e">
        <f t="shared" si="12"/>
        <v>#DIV/0!</v>
      </c>
      <c r="BY40" s="165" t="e">
        <f t="shared" si="13"/>
        <v>#DIV/0!</v>
      </c>
      <c r="BZ40" s="166" t="e">
        <f t="shared" si="14"/>
        <v>#DIV/0!</v>
      </c>
      <c r="CA40" s="164" t="e">
        <f t="shared" si="15"/>
        <v>#DIV/0!</v>
      </c>
      <c r="CB40" s="165" t="e">
        <f t="shared" si="16"/>
        <v>#DIV/0!</v>
      </c>
      <c r="CC40" s="166" t="e">
        <f t="shared" si="17"/>
        <v>#DIV/0!</v>
      </c>
    </row>
    <row r="41" spans="2:81" ht="15" customHeight="1">
      <c r="B41" s="50">
        <v>37</v>
      </c>
      <c r="C41" s="48">
        <v>6.0810000000000003E-2</v>
      </c>
      <c r="D41" s="4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256"/>
      <c r="AH41" s="128" t="e">
        <f t="shared" si="5"/>
        <v>#DIV/0!</v>
      </c>
      <c r="AI41" s="54" t="e">
        <f t="shared" si="6"/>
        <v>#DIV/0!</v>
      </c>
      <c r="AJ41" s="55" t="e">
        <f t="shared" si="7"/>
        <v>#DIV/0!</v>
      </c>
      <c r="AK41" s="344" t="e">
        <f>100*STDEV(D41,G41,J41,M41,P41,S41,V41,Y41,AB41,AE41)/$C$41</f>
        <v>#DIV/0!</v>
      </c>
      <c r="AL41" s="54" t="e">
        <f>100*STDEV(E41,H41,K41,N41,Q41,T41,W41,Z41,AC41,AF41)/$C$41</f>
        <v>#DIV/0!</v>
      </c>
      <c r="AM41" s="55" t="e">
        <f>100*STDEV(F41,I41,L41,O41,R41,U41,X41,AA41,AD41,AG41)/$C$41</f>
        <v>#DIV/0!</v>
      </c>
      <c r="AN41" s="44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256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256"/>
      <c r="BR41" s="128" t="e">
        <f t="shared" si="8"/>
        <v>#DIV/0!</v>
      </c>
      <c r="BS41" s="54" t="e">
        <f t="shared" si="9"/>
        <v>#DIV/0!</v>
      </c>
      <c r="BT41" s="55" t="e">
        <f t="shared" si="10"/>
        <v>#DIV/0!</v>
      </c>
      <c r="BU41" s="344" t="e">
        <f>100*STDEV(AN41,AQ41,AT41,AW41,AZ41,BC41,BF41,BI41,BL41,BO41)/$C$41</f>
        <v>#DIV/0!</v>
      </c>
      <c r="BV41" s="54" t="e">
        <f>100*STDEV(AO41,AR41,AU41,AX41,BA41,BD41,BG41,BJ41,BM41,BP41)/$C$41</f>
        <v>#DIV/0!</v>
      </c>
      <c r="BW41" s="55" t="e">
        <f>100*STDEV(AP41,AS41,AV41,AY41,BB41,BE41,BH41,BK41,BN41,BQ41)/$C$41</f>
        <v>#DIV/0!</v>
      </c>
      <c r="BX41" s="167" t="e">
        <f t="shared" si="12"/>
        <v>#DIV/0!</v>
      </c>
      <c r="BY41" s="165" t="e">
        <f t="shared" si="13"/>
        <v>#DIV/0!</v>
      </c>
      <c r="BZ41" s="166" t="e">
        <f t="shared" si="14"/>
        <v>#DIV/0!</v>
      </c>
      <c r="CA41" s="164" t="e">
        <f t="shared" si="15"/>
        <v>#DIV/0!</v>
      </c>
      <c r="CB41" s="165" t="e">
        <f t="shared" si="16"/>
        <v>#DIV/0!</v>
      </c>
      <c r="CC41" s="166" t="e">
        <f t="shared" si="17"/>
        <v>#DIV/0!</v>
      </c>
    </row>
    <row r="42" spans="2:81" ht="15" customHeight="1">
      <c r="B42" s="50">
        <v>38</v>
      </c>
      <c r="C42" s="48">
        <v>4.8419999999999998E-2</v>
      </c>
      <c r="D42" s="4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256"/>
      <c r="AH42" s="128" t="e">
        <f t="shared" si="5"/>
        <v>#DIV/0!</v>
      </c>
      <c r="AI42" s="54" t="e">
        <f t="shared" si="6"/>
        <v>#DIV/0!</v>
      </c>
      <c r="AJ42" s="55" t="e">
        <f t="shared" si="7"/>
        <v>#DIV/0!</v>
      </c>
      <c r="AK42" s="344" t="e">
        <f>100*STDEV(D42,G42,J42,M42,P42,S42,V42,Y42,AB42,AE42)/$C$42</f>
        <v>#DIV/0!</v>
      </c>
      <c r="AL42" s="54" t="e">
        <f>100*STDEV(E42,H42,K42,N42,Q42,T42,W42,Z42,AC42,AF42)/$C$42</f>
        <v>#DIV/0!</v>
      </c>
      <c r="AM42" s="55" t="e">
        <f>100*STDEV(F42,I42,L42,O42,R42,U42,X42,AA42,AD42,AG42)/$C$42</f>
        <v>#DIV/0!</v>
      </c>
      <c r="AN42" s="44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256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256"/>
      <c r="BR42" s="128" t="e">
        <f t="shared" si="8"/>
        <v>#DIV/0!</v>
      </c>
      <c r="BS42" s="54" t="e">
        <f t="shared" si="9"/>
        <v>#DIV/0!</v>
      </c>
      <c r="BT42" s="55" t="e">
        <f t="shared" si="10"/>
        <v>#DIV/0!</v>
      </c>
      <c r="BU42" s="344" t="e">
        <f>100*STDEV(AN42,AQ42,AT42,AW42,AZ42,BC42,BF42,BI42,BL42,BO42)/$C$42</f>
        <v>#DIV/0!</v>
      </c>
      <c r="BV42" s="54" t="e">
        <f>100*STDEV(AO42,AR42,AU42,AX42,BA42,BD42,BG42,BJ42,BM42,BP42)/$C$42</f>
        <v>#DIV/0!</v>
      </c>
      <c r="BW42" s="55" t="e">
        <f>100*STDEV(AP42,AS42,AV42,AY42,BB42,BE42,BH42,BK42,BN42,BQ42)/$C$42</f>
        <v>#DIV/0!</v>
      </c>
      <c r="BX42" s="167" t="e">
        <f t="shared" si="12"/>
        <v>#DIV/0!</v>
      </c>
      <c r="BY42" s="165" t="e">
        <f t="shared" si="13"/>
        <v>#DIV/0!</v>
      </c>
      <c r="BZ42" s="166" t="e">
        <f t="shared" si="14"/>
        <v>#DIV/0!</v>
      </c>
      <c r="CA42" s="164" t="e">
        <f t="shared" si="15"/>
        <v>#DIV/0!</v>
      </c>
      <c r="CB42" s="165" t="e">
        <f t="shared" si="16"/>
        <v>#DIV/0!</v>
      </c>
      <c r="CC42" s="166" t="e">
        <f t="shared" si="17"/>
        <v>#DIV/0!</v>
      </c>
    </row>
    <row r="43" spans="2:81" ht="15" customHeight="1">
      <c r="B43" s="50">
        <v>39</v>
      </c>
      <c r="C43" s="48">
        <v>5.7689999999999998E-2</v>
      </c>
      <c r="D43" s="4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256"/>
      <c r="AH43" s="128" t="e">
        <f t="shared" si="5"/>
        <v>#DIV/0!</v>
      </c>
      <c r="AI43" s="54" t="e">
        <f t="shared" si="6"/>
        <v>#DIV/0!</v>
      </c>
      <c r="AJ43" s="55" t="e">
        <f t="shared" si="7"/>
        <v>#DIV/0!</v>
      </c>
      <c r="AK43" s="344" t="e">
        <f>100*STDEV(D43,G43,J43,M43,P43,S43,V43,Y43,AB43,AE43)/$C$43</f>
        <v>#DIV/0!</v>
      </c>
      <c r="AL43" s="54" t="e">
        <f>100*STDEV(E43,H43,K43,N43,Q43,T43,W43,Z43,AC43,AF43)/$C$43</f>
        <v>#DIV/0!</v>
      </c>
      <c r="AM43" s="55" t="e">
        <f>100*STDEV(F43,I43,L43,O43,R43,U43,X43,AA43,AD43,AG43)/$C$43</f>
        <v>#DIV/0!</v>
      </c>
      <c r="AN43" s="44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256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256"/>
      <c r="BR43" s="128" t="e">
        <f t="shared" si="8"/>
        <v>#DIV/0!</v>
      </c>
      <c r="BS43" s="54" t="e">
        <f t="shared" si="9"/>
        <v>#DIV/0!</v>
      </c>
      <c r="BT43" s="55" t="e">
        <f t="shared" si="10"/>
        <v>#DIV/0!</v>
      </c>
      <c r="BU43" s="344" t="e">
        <f>100*STDEV(AN43,AQ43,AT43,AW43,AZ43,BC43,BF43,BI43,BL43,BO43)/$C$43</f>
        <v>#DIV/0!</v>
      </c>
      <c r="BV43" s="54" t="e">
        <f>100*STDEV(AO43,AR43,AU43,AX43,BA43,BD43,BG43,BJ43,BM43,BP43)/$C$43</f>
        <v>#DIV/0!</v>
      </c>
      <c r="BW43" s="55" t="e">
        <f>100*STDEV(AP43,AS43,AV43,AY43,BB43,BE43,BH43,BK43,BN43,BQ43)/$C$43</f>
        <v>#DIV/0!</v>
      </c>
      <c r="BX43" s="167" t="e">
        <f t="shared" si="12"/>
        <v>#DIV/0!</v>
      </c>
      <c r="BY43" s="165" t="e">
        <f t="shared" si="13"/>
        <v>#DIV/0!</v>
      </c>
      <c r="BZ43" s="166" t="e">
        <f t="shared" si="14"/>
        <v>#DIV/0!</v>
      </c>
      <c r="CA43" s="164" t="e">
        <f t="shared" si="15"/>
        <v>#DIV/0!</v>
      </c>
      <c r="CB43" s="165" t="e">
        <f t="shared" si="16"/>
        <v>#DIV/0!</v>
      </c>
      <c r="CC43" s="166" t="e">
        <f t="shared" si="17"/>
        <v>#DIV/0!</v>
      </c>
    </row>
    <row r="44" spans="2:81" ht="15" customHeight="1">
      <c r="B44" s="50">
        <v>40</v>
      </c>
      <c r="C44" s="48">
        <v>4.5999999999999999E-2</v>
      </c>
      <c r="D44" s="4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256"/>
      <c r="AH44" s="128" t="e">
        <f t="shared" si="5"/>
        <v>#DIV/0!</v>
      </c>
      <c r="AI44" s="54" t="e">
        <f t="shared" si="6"/>
        <v>#DIV/0!</v>
      </c>
      <c r="AJ44" s="55" t="e">
        <f t="shared" si="7"/>
        <v>#DIV/0!</v>
      </c>
      <c r="AK44" s="344" t="e">
        <f>100*STDEV(D44,G44,J44,M44,P44,S44,V44,Y44,AB44,AE44)/$C$44</f>
        <v>#DIV/0!</v>
      </c>
      <c r="AL44" s="54" t="e">
        <f>100*STDEV(E44,H44,K44,N44,Q44,T44,W44,Z44,AC44,AF44)/$C$44</f>
        <v>#DIV/0!</v>
      </c>
      <c r="AM44" s="55" t="e">
        <f>100*STDEV(F44,I44,L44,O44,R44,U44,X44,AA44,AD44,AG44)/$C$44</f>
        <v>#DIV/0!</v>
      </c>
      <c r="AN44" s="44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256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256"/>
      <c r="BR44" s="128" t="e">
        <f t="shared" si="8"/>
        <v>#DIV/0!</v>
      </c>
      <c r="BS44" s="54" t="e">
        <f t="shared" si="9"/>
        <v>#DIV/0!</v>
      </c>
      <c r="BT44" s="55" t="e">
        <f t="shared" si="10"/>
        <v>#DIV/0!</v>
      </c>
      <c r="BU44" s="344" t="e">
        <f>100*STDEV(AN44,AQ44,AT44,AW44,AZ44,BC44,BF44,BI44,BL44,BO44)/$C$44</f>
        <v>#DIV/0!</v>
      </c>
      <c r="BV44" s="54" t="e">
        <f>100*STDEV(AO44,AR44,AU44,AX44,BA44,BD44,BG44,BJ44,BM44,BP44)/$C$44</f>
        <v>#DIV/0!</v>
      </c>
      <c r="BW44" s="55" t="e">
        <f>100*STDEV(AP44,AS44,AV44,AY44,BB44,BE44,BH44,BK44,BN44,BQ44)/$C$44</f>
        <v>#DIV/0!</v>
      </c>
      <c r="BX44" s="167" t="e">
        <f t="shared" si="12"/>
        <v>#DIV/0!</v>
      </c>
      <c r="BY44" s="165" t="e">
        <f t="shared" si="13"/>
        <v>#DIV/0!</v>
      </c>
      <c r="BZ44" s="166" t="e">
        <f t="shared" si="14"/>
        <v>#DIV/0!</v>
      </c>
      <c r="CA44" s="164" t="e">
        <f t="shared" si="15"/>
        <v>#DIV/0!</v>
      </c>
      <c r="CB44" s="165" t="e">
        <f t="shared" si="16"/>
        <v>#DIV/0!</v>
      </c>
      <c r="CC44" s="166" t="e">
        <f t="shared" si="17"/>
        <v>#DIV/0!</v>
      </c>
    </row>
    <row r="45" spans="2:81" ht="15" customHeight="1">
      <c r="B45" s="50">
        <v>41</v>
      </c>
      <c r="C45" s="62">
        <v>2.3E-2</v>
      </c>
      <c r="D45" s="4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256"/>
      <c r="AH45" s="128" t="e">
        <f t="shared" si="5"/>
        <v>#DIV/0!</v>
      </c>
      <c r="AI45" s="54" t="e">
        <f t="shared" si="6"/>
        <v>#DIV/0!</v>
      </c>
      <c r="AJ45" s="55" t="e">
        <f t="shared" si="7"/>
        <v>#DIV/0!</v>
      </c>
      <c r="AK45" s="344" t="e">
        <f>100*STDEV(D45,G45,J45,M45,P45,S45,V45,Y45,AB45,AE45)/$C$45</f>
        <v>#DIV/0!</v>
      </c>
      <c r="AL45" s="54" t="e">
        <f>100*STDEV(E45,H45,K45,N45,Q45,T45,W45,Z45,AC45,AF45)/$C$45</f>
        <v>#DIV/0!</v>
      </c>
      <c r="AM45" s="55" t="e">
        <f>100*STDEV(F45,I45,L45,O45,R45,U45,X45,AA45,AD45,AG45)/$C$45</f>
        <v>#DIV/0!</v>
      </c>
      <c r="AN45" s="44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256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256"/>
      <c r="BR45" s="128" t="e">
        <f t="shared" si="8"/>
        <v>#DIV/0!</v>
      </c>
      <c r="BS45" s="54" t="e">
        <f t="shared" si="9"/>
        <v>#DIV/0!</v>
      </c>
      <c r="BT45" s="55" t="e">
        <f t="shared" si="10"/>
        <v>#DIV/0!</v>
      </c>
      <c r="BU45" s="344" t="e">
        <f>100*STDEV(AN45,AQ45,AT45,AW45,AZ45,BC45,BF45,BI45,BL45,BO45)/$C$45</f>
        <v>#DIV/0!</v>
      </c>
      <c r="BV45" s="54" t="e">
        <f>100*STDEV(AO45,AR45,AU45,AX45,BA45,BD45,BG45,BJ45,BM45,BP45)/$C$45</f>
        <v>#DIV/0!</v>
      </c>
      <c r="BW45" s="55" t="e">
        <f>100*STDEV(AP45,AS45,AV45,AY45,BB45,BE45,BH45,BK45,BN45,BQ45)/$C$45</f>
        <v>#DIV/0!</v>
      </c>
      <c r="BX45" s="167" t="e">
        <f t="shared" si="12"/>
        <v>#DIV/0!</v>
      </c>
      <c r="BY45" s="165" t="e">
        <f t="shared" si="13"/>
        <v>#DIV/0!</v>
      </c>
      <c r="BZ45" s="166" t="e">
        <f t="shared" si="14"/>
        <v>#DIV/0!</v>
      </c>
      <c r="CA45" s="164" t="e">
        <f t="shared" si="15"/>
        <v>#DIV/0!</v>
      </c>
      <c r="CB45" s="165" t="e">
        <f t="shared" si="16"/>
        <v>#DIV/0!</v>
      </c>
      <c r="CC45" s="166" t="e">
        <f t="shared" si="17"/>
        <v>#DIV/0!</v>
      </c>
    </row>
    <row r="46" spans="2:81" ht="15" customHeight="1">
      <c r="B46" s="50">
        <v>42</v>
      </c>
      <c r="C46" s="48">
        <v>2.3E-2</v>
      </c>
      <c r="D46" s="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256"/>
      <c r="AH46" s="128" t="e">
        <f t="shared" si="5"/>
        <v>#DIV/0!</v>
      </c>
      <c r="AI46" s="54" t="e">
        <f t="shared" si="6"/>
        <v>#DIV/0!</v>
      </c>
      <c r="AJ46" s="55" t="e">
        <f t="shared" si="7"/>
        <v>#DIV/0!</v>
      </c>
      <c r="AK46" s="344" t="e">
        <f>100*STDEV(D46,G46,J46,M46,P46,S46,V46,Y46,AB46,AE46)/$C$46</f>
        <v>#DIV/0!</v>
      </c>
      <c r="AL46" s="54" t="e">
        <f>100*STDEV(E46,H46,K46,N46,Q46,T46,W46,Z46,AC46,AF46)/$C$46</f>
        <v>#DIV/0!</v>
      </c>
      <c r="AM46" s="55" t="e">
        <f>100*STDEV(F46,I46,L46,O46,R46,U46,X46,AA46,AD46,AG46)/$C$46</f>
        <v>#DIV/0!</v>
      </c>
      <c r="AN46" s="44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256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256"/>
      <c r="BR46" s="128" t="e">
        <f t="shared" si="8"/>
        <v>#DIV/0!</v>
      </c>
      <c r="BS46" s="54" t="e">
        <f t="shared" si="9"/>
        <v>#DIV/0!</v>
      </c>
      <c r="BT46" s="55" t="e">
        <f t="shared" si="10"/>
        <v>#DIV/0!</v>
      </c>
      <c r="BU46" s="344" t="e">
        <f>100*STDEV(AN46,AQ46,AT46,AW46,AZ46,BC46,BF46,BI46,BL46,BO46)/$C$46</f>
        <v>#DIV/0!</v>
      </c>
      <c r="BV46" s="54" t="e">
        <f>100*STDEV(AO46,AR46,AU46,AX46,BA46,BD46,BG46,BJ46,BM46,BP46)/$C$46</f>
        <v>#DIV/0!</v>
      </c>
      <c r="BW46" s="55" t="e">
        <f>100*STDEV(AP46,AS46,AV46,AY46,BB46,BE46,BH46,BK46,BN46,BQ46)/$C$46</f>
        <v>#DIV/0!</v>
      </c>
      <c r="BX46" s="167" t="e">
        <f t="shared" si="12"/>
        <v>#DIV/0!</v>
      </c>
      <c r="BY46" s="165" t="e">
        <f t="shared" si="13"/>
        <v>#DIV/0!</v>
      </c>
      <c r="BZ46" s="166" t="e">
        <f t="shared" si="14"/>
        <v>#DIV/0!</v>
      </c>
      <c r="CA46" s="164" t="e">
        <f t="shared" si="15"/>
        <v>#DIV/0!</v>
      </c>
      <c r="CB46" s="165" t="e">
        <f t="shared" si="16"/>
        <v>#DIV/0!</v>
      </c>
      <c r="CC46" s="166" t="e">
        <f t="shared" si="17"/>
        <v>#DIV/0!</v>
      </c>
    </row>
    <row r="47" spans="2:81" ht="15" customHeight="1">
      <c r="B47" s="50">
        <v>43</v>
      </c>
      <c r="C47" s="48">
        <v>2.3E-2</v>
      </c>
      <c r="D47" s="4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256"/>
      <c r="AH47" s="128" t="e">
        <f t="shared" si="5"/>
        <v>#DIV/0!</v>
      </c>
      <c r="AI47" s="54" t="e">
        <f t="shared" si="6"/>
        <v>#DIV/0!</v>
      </c>
      <c r="AJ47" s="55" t="e">
        <f t="shared" si="7"/>
        <v>#DIV/0!</v>
      </c>
      <c r="AK47" s="344" t="e">
        <f>100*STDEV(D47,G47,J47,M47,P47,S47,V47,Y47,AB47,AE47)/$C$47</f>
        <v>#DIV/0!</v>
      </c>
      <c r="AL47" s="54" t="e">
        <f>100*STDEV(E47,H47,K47,N47,Q47,T47,W47,Z47,AC47,AF47)/$C$47</f>
        <v>#DIV/0!</v>
      </c>
      <c r="AM47" s="55" t="e">
        <f>100*STDEV(F47,I47,L47,O47,R47,U47,X47,AA47,AD47,AG47)/$C$47</f>
        <v>#DIV/0!</v>
      </c>
      <c r="AN47" s="44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256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256"/>
      <c r="BR47" s="128" t="e">
        <f t="shared" si="8"/>
        <v>#DIV/0!</v>
      </c>
      <c r="BS47" s="54" t="e">
        <f t="shared" si="9"/>
        <v>#DIV/0!</v>
      </c>
      <c r="BT47" s="55" t="e">
        <f t="shared" si="10"/>
        <v>#DIV/0!</v>
      </c>
      <c r="BU47" s="344" t="e">
        <f>100*STDEV(AN47,AQ47,AT47,AW47,AZ47,BC47,BF47,BI47,BL47,BO47)/$C$47</f>
        <v>#DIV/0!</v>
      </c>
      <c r="BV47" s="54" t="e">
        <f>100*STDEV(AO47,AR47,AU47,AX47,BA47,BD47,BG47,BJ47,BM47,BP47)/$C$47</f>
        <v>#DIV/0!</v>
      </c>
      <c r="BW47" s="55" t="e">
        <f>100*STDEV(AP47,AS47,AV47,AY47,BB47,BE47,BH47,BK47,BN47,BQ47)/$C$47</f>
        <v>#DIV/0!</v>
      </c>
      <c r="BX47" s="167" t="e">
        <f t="shared" si="12"/>
        <v>#DIV/0!</v>
      </c>
      <c r="BY47" s="165" t="e">
        <f t="shared" si="13"/>
        <v>#DIV/0!</v>
      </c>
      <c r="BZ47" s="166" t="e">
        <f t="shared" si="14"/>
        <v>#DIV/0!</v>
      </c>
      <c r="CA47" s="164" t="e">
        <f t="shared" si="15"/>
        <v>#DIV/0!</v>
      </c>
      <c r="CB47" s="165" t="e">
        <f t="shared" si="16"/>
        <v>#DIV/0!</v>
      </c>
      <c r="CC47" s="166" t="e">
        <f t="shared" si="17"/>
        <v>#DIV/0!</v>
      </c>
    </row>
    <row r="48" spans="2:81" ht="15" customHeight="1">
      <c r="B48" s="50">
        <v>44</v>
      </c>
      <c r="C48" s="48">
        <v>2.3E-2</v>
      </c>
      <c r="D48" s="4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256"/>
      <c r="AH48" s="128" t="e">
        <f t="shared" si="5"/>
        <v>#DIV/0!</v>
      </c>
      <c r="AI48" s="54" t="e">
        <f t="shared" si="6"/>
        <v>#DIV/0!</v>
      </c>
      <c r="AJ48" s="55" t="e">
        <f t="shared" si="7"/>
        <v>#DIV/0!</v>
      </c>
      <c r="AK48" s="344" t="e">
        <f>100*STDEV(D48,G48,J48,M48,P48,S48,V48,Y48,AB48,AE48)/$C$48</f>
        <v>#DIV/0!</v>
      </c>
      <c r="AL48" s="54" t="e">
        <f>100*STDEV(E48,H48,K48,N48,Q48,T48,W48,Z48,AC48,AF48)/$C$48</f>
        <v>#DIV/0!</v>
      </c>
      <c r="AM48" s="55" t="e">
        <f>100*STDEV(F48,I48,L48,O48,R48,U48,X48,AA48,AD48,AG48)/$C$48</f>
        <v>#DIV/0!</v>
      </c>
      <c r="AN48" s="44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256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256"/>
      <c r="BR48" s="128" t="e">
        <f t="shared" si="8"/>
        <v>#DIV/0!</v>
      </c>
      <c r="BS48" s="54" t="e">
        <f t="shared" si="9"/>
        <v>#DIV/0!</v>
      </c>
      <c r="BT48" s="55" t="e">
        <f t="shared" si="10"/>
        <v>#DIV/0!</v>
      </c>
      <c r="BU48" s="344" t="e">
        <f>100*STDEV(AN48,AQ48,AT48,AW48,AZ48,BC48,BF48,BI48,BL48,BO48)/$C$48</f>
        <v>#DIV/0!</v>
      </c>
      <c r="BV48" s="54" t="e">
        <f>100*STDEV(AO48,AR48,AU48,AX48,BA48,BD48,BG48,BJ48,BM48,BP48)/$C$48</f>
        <v>#DIV/0!</v>
      </c>
      <c r="BW48" s="55" t="e">
        <f>100*STDEV(AP48,AS48,AV48,AY48,BB48,BE48,BH48,BK48,BN48,BQ48)/$C$48</f>
        <v>#DIV/0!</v>
      </c>
      <c r="BX48" s="167" t="e">
        <f t="shared" si="12"/>
        <v>#DIV/0!</v>
      </c>
      <c r="BY48" s="165" t="e">
        <f t="shared" si="13"/>
        <v>#DIV/0!</v>
      </c>
      <c r="BZ48" s="166" t="e">
        <f t="shared" si="14"/>
        <v>#DIV/0!</v>
      </c>
      <c r="CA48" s="164" t="e">
        <f t="shared" si="15"/>
        <v>#DIV/0!</v>
      </c>
      <c r="CB48" s="165" t="e">
        <f t="shared" si="16"/>
        <v>#DIV/0!</v>
      </c>
      <c r="CC48" s="166" t="e">
        <f t="shared" si="17"/>
        <v>#DIV/0!</v>
      </c>
    </row>
    <row r="49" spans="2:81" ht="15" customHeight="1">
      <c r="B49" s="50">
        <v>45</v>
      </c>
      <c r="C49" s="48">
        <v>2.3E-2</v>
      </c>
      <c r="D49" s="4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256"/>
      <c r="AH49" s="128" t="e">
        <f t="shared" si="5"/>
        <v>#DIV/0!</v>
      </c>
      <c r="AI49" s="54" t="e">
        <f t="shared" si="6"/>
        <v>#DIV/0!</v>
      </c>
      <c r="AJ49" s="55" t="e">
        <f t="shared" si="7"/>
        <v>#DIV/0!</v>
      </c>
      <c r="AK49" s="344" t="e">
        <f>100*STDEV(D49,G49,J49,M49,P49,S49,V49,Y49,AB49,AE49)/$C$49</f>
        <v>#DIV/0!</v>
      </c>
      <c r="AL49" s="54" t="e">
        <f>100*STDEV(E49,H49,K49,N49,Q49,T49,W49,Z49,AC49,AF49)/$C$49</f>
        <v>#DIV/0!</v>
      </c>
      <c r="AM49" s="55" t="e">
        <f>100*STDEV(F49,I49,L49,O49,R49,U49,X49,AA49,AD49,AG49)/$C$49</f>
        <v>#DIV/0!</v>
      </c>
      <c r="AN49" s="44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256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256"/>
      <c r="BR49" s="128" t="e">
        <f t="shared" si="8"/>
        <v>#DIV/0!</v>
      </c>
      <c r="BS49" s="54" t="e">
        <f t="shared" si="9"/>
        <v>#DIV/0!</v>
      </c>
      <c r="BT49" s="55" t="e">
        <f t="shared" si="10"/>
        <v>#DIV/0!</v>
      </c>
      <c r="BU49" s="344" t="e">
        <f>100*STDEV(AN49,AQ49,AT49,AW49,AZ49,BC49,BF49,BI49,BL49,BO49)/$C$49</f>
        <v>#DIV/0!</v>
      </c>
      <c r="BV49" s="54" t="e">
        <f>100*STDEV(AO49,AR49,AU49,AX49,BA49,BD49,BG49,BJ49,BM49,BP49)/$C$49</f>
        <v>#DIV/0!</v>
      </c>
      <c r="BW49" s="55" t="e">
        <f>100*STDEV(AP49,AS49,AV49,AY49,BB49,BE49,BH49,BK49,BN49,BQ49)/$C$49</f>
        <v>#DIV/0!</v>
      </c>
      <c r="BX49" s="167" t="e">
        <f t="shared" si="12"/>
        <v>#DIV/0!</v>
      </c>
      <c r="BY49" s="165" t="e">
        <f t="shared" si="13"/>
        <v>#DIV/0!</v>
      </c>
      <c r="BZ49" s="166" t="e">
        <f t="shared" si="14"/>
        <v>#DIV/0!</v>
      </c>
      <c r="CA49" s="164" t="e">
        <f t="shared" si="15"/>
        <v>#DIV/0!</v>
      </c>
      <c r="CB49" s="165" t="e">
        <f t="shared" si="16"/>
        <v>#DIV/0!</v>
      </c>
      <c r="CC49" s="166" t="e">
        <f t="shared" si="17"/>
        <v>#DIV/0!</v>
      </c>
    </row>
    <row r="50" spans="2:81" ht="15" customHeight="1">
      <c r="B50" s="50">
        <v>46</v>
      </c>
      <c r="C50" s="48">
        <v>2.3E-2</v>
      </c>
      <c r="D50" s="4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256"/>
      <c r="AH50" s="128" t="e">
        <f t="shared" si="5"/>
        <v>#DIV/0!</v>
      </c>
      <c r="AI50" s="54" t="e">
        <f t="shared" si="6"/>
        <v>#DIV/0!</v>
      </c>
      <c r="AJ50" s="55" t="e">
        <f t="shared" si="7"/>
        <v>#DIV/0!</v>
      </c>
      <c r="AK50" s="344" t="e">
        <f>100*STDEV(D50,G50,J50,M50,P50,S50,V50,Y50,AB50,AE50)/$C$50</f>
        <v>#DIV/0!</v>
      </c>
      <c r="AL50" s="54" t="e">
        <f>100*STDEV(E50,H50,K50,N50,Q50,T50,W50,Z50,AC50,AF50)/$C$50</f>
        <v>#DIV/0!</v>
      </c>
      <c r="AM50" s="55" t="e">
        <f>100*STDEV(F50,I50,L50,O50,R50,U50,X50,AA50,AD50,AG50)/$C$50</f>
        <v>#DIV/0!</v>
      </c>
      <c r="AN50" s="44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256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256"/>
      <c r="BR50" s="128" t="e">
        <f t="shared" si="8"/>
        <v>#DIV/0!</v>
      </c>
      <c r="BS50" s="54" t="e">
        <f t="shared" si="9"/>
        <v>#DIV/0!</v>
      </c>
      <c r="BT50" s="55" t="e">
        <f t="shared" si="10"/>
        <v>#DIV/0!</v>
      </c>
      <c r="BU50" s="344" t="e">
        <f>100*STDEV(AN50,AQ50,AT50,AW50,AZ50,BC50,BF50,BI50,BL50,BO50)/$C$50</f>
        <v>#DIV/0!</v>
      </c>
      <c r="BV50" s="54" t="e">
        <f>100*STDEV(AO50,AR50,AU50,AX50,BA50,BD50,BG50,BJ50,BM50,BP50)/$C$50</f>
        <v>#DIV/0!</v>
      </c>
      <c r="BW50" s="55" t="e">
        <f>100*STDEV(AP50,AS50,AV50,AY50,BB50,BE50,BH50,BK50,BN50,BQ50)/$C$50</f>
        <v>#DIV/0!</v>
      </c>
      <c r="BX50" s="167" t="e">
        <f t="shared" si="12"/>
        <v>#DIV/0!</v>
      </c>
      <c r="BY50" s="165" t="e">
        <f t="shared" si="13"/>
        <v>#DIV/0!</v>
      </c>
      <c r="BZ50" s="166" t="e">
        <f t="shared" si="14"/>
        <v>#DIV/0!</v>
      </c>
      <c r="CA50" s="164" t="e">
        <f t="shared" si="15"/>
        <v>#DIV/0!</v>
      </c>
      <c r="CB50" s="165" t="e">
        <f t="shared" si="16"/>
        <v>#DIV/0!</v>
      </c>
      <c r="CC50" s="166" t="e">
        <f t="shared" si="17"/>
        <v>#DIV/0!</v>
      </c>
    </row>
    <row r="51" spans="2:81" ht="15" customHeight="1">
      <c r="B51" s="50">
        <v>47</v>
      </c>
      <c r="C51" s="48">
        <v>2.3E-2</v>
      </c>
      <c r="D51" s="4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256"/>
      <c r="AH51" s="128" t="e">
        <f t="shared" si="5"/>
        <v>#DIV/0!</v>
      </c>
      <c r="AI51" s="54" t="e">
        <f t="shared" si="6"/>
        <v>#DIV/0!</v>
      </c>
      <c r="AJ51" s="55" t="e">
        <f t="shared" si="7"/>
        <v>#DIV/0!</v>
      </c>
      <c r="AK51" s="344" t="e">
        <f>100*STDEV(D51,G51,J51,M51,P51,S51,V51,Y51,AB51,AE51)/$C$51</f>
        <v>#DIV/0!</v>
      </c>
      <c r="AL51" s="54" t="e">
        <f>100*STDEV(E51,H51,K51,N51,Q51,T51,W51,Z51,AC51,AF51)/$C$51</f>
        <v>#DIV/0!</v>
      </c>
      <c r="AM51" s="55" t="e">
        <f>100*STDEV(F51,I51,L51,O51,R51,U51,X51,AA51,AD51,AG51)/$C$51</f>
        <v>#DIV/0!</v>
      </c>
      <c r="AN51" s="44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256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256"/>
      <c r="BR51" s="128" t="e">
        <f t="shared" si="8"/>
        <v>#DIV/0!</v>
      </c>
      <c r="BS51" s="54" t="e">
        <f t="shared" si="9"/>
        <v>#DIV/0!</v>
      </c>
      <c r="BT51" s="55" t="e">
        <f t="shared" si="10"/>
        <v>#DIV/0!</v>
      </c>
      <c r="BU51" s="344" t="e">
        <f>100*STDEV(AN51,AQ51,AT51,AW51,AZ51,BC51,BF51,BI51,BL51,BO51)/$C$51</f>
        <v>#DIV/0!</v>
      </c>
      <c r="BV51" s="54" t="e">
        <f>100*STDEV(AO51,AR51,AU51,AX51,BA51,BD51,BG51,BJ51,BM51,BP51)/$C$51</f>
        <v>#DIV/0!</v>
      </c>
      <c r="BW51" s="55" t="e">
        <f>100*STDEV(AP51,AS51,AV51,AY51,BB51,BE51,BH51,BK51,BN51,BQ51)/$C$51</f>
        <v>#DIV/0!</v>
      </c>
      <c r="BX51" s="167" t="e">
        <f t="shared" si="12"/>
        <v>#DIV/0!</v>
      </c>
      <c r="BY51" s="165" t="e">
        <f t="shared" si="13"/>
        <v>#DIV/0!</v>
      </c>
      <c r="BZ51" s="166" t="e">
        <f t="shared" si="14"/>
        <v>#DIV/0!</v>
      </c>
      <c r="CA51" s="164" t="e">
        <f t="shared" si="15"/>
        <v>#DIV/0!</v>
      </c>
      <c r="CB51" s="165" t="e">
        <f t="shared" si="16"/>
        <v>#DIV/0!</v>
      </c>
      <c r="CC51" s="166" t="e">
        <f t="shared" si="17"/>
        <v>#DIV/0!</v>
      </c>
    </row>
    <row r="52" spans="2:81" ht="15" customHeight="1">
      <c r="B52" s="50">
        <v>48</v>
      </c>
      <c r="C52" s="48">
        <v>2.3E-2</v>
      </c>
      <c r="D52" s="4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256"/>
      <c r="AH52" s="128" t="e">
        <f t="shared" si="5"/>
        <v>#DIV/0!</v>
      </c>
      <c r="AI52" s="54" t="e">
        <f t="shared" si="6"/>
        <v>#DIV/0!</v>
      </c>
      <c r="AJ52" s="55" t="e">
        <f t="shared" si="7"/>
        <v>#DIV/0!</v>
      </c>
      <c r="AK52" s="344" t="e">
        <f>100*STDEV(D52,G52,J52,M52,P52,S52,V52,Y52,AB52,AE52)/$C$52</f>
        <v>#DIV/0!</v>
      </c>
      <c r="AL52" s="54" t="e">
        <f>100*STDEV(E52,H52,K52,N52,Q52,T52,W52,Z52,AC52,AF52)/$C$52</f>
        <v>#DIV/0!</v>
      </c>
      <c r="AM52" s="55" t="e">
        <f>100*STDEV(F52,I52,L52,O52,R52,U52,X52,AA52,AD52,AG52)/$C$52</f>
        <v>#DIV/0!</v>
      </c>
      <c r="AN52" s="44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256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256"/>
      <c r="BR52" s="128" t="e">
        <f t="shared" si="8"/>
        <v>#DIV/0!</v>
      </c>
      <c r="BS52" s="54" t="e">
        <f t="shared" si="9"/>
        <v>#DIV/0!</v>
      </c>
      <c r="BT52" s="55" t="e">
        <f t="shared" si="10"/>
        <v>#DIV/0!</v>
      </c>
      <c r="BU52" s="344" t="e">
        <f>100*STDEV(AN52,AQ52,AT52,AW52,AZ52,BC52,BF52,BI52,BL52,BO52)/$C$52</f>
        <v>#DIV/0!</v>
      </c>
      <c r="BV52" s="54" t="e">
        <f>100*STDEV(AO52,AR52,AU52,AX52,BA52,BD52,BG52,BJ52,BM52,BP52)/$C$52</f>
        <v>#DIV/0!</v>
      </c>
      <c r="BW52" s="55" t="e">
        <f>100*STDEV(AP52,AS52,AV52,AY52,BB52,BE52,BH52,BK52,BN52,BQ52)/$C$52</f>
        <v>#DIV/0!</v>
      </c>
      <c r="BX52" s="167" t="e">
        <f t="shared" si="12"/>
        <v>#DIV/0!</v>
      </c>
      <c r="BY52" s="165" t="e">
        <f t="shared" si="13"/>
        <v>#DIV/0!</v>
      </c>
      <c r="BZ52" s="166" t="e">
        <f t="shared" si="14"/>
        <v>#DIV/0!</v>
      </c>
      <c r="CA52" s="164" t="e">
        <f t="shared" si="15"/>
        <v>#DIV/0!</v>
      </c>
      <c r="CB52" s="165" t="e">
        <f t="shared" si="16"/>
        <v>#DIV/0!</v>
      </c>
      <c r="CC52" s="166" t="e">
        <f t="shared" si="17"/>
        <v>#DIV/0!</v>
      </c>
    </row>
    <row r="53" spans="2:81" ht="15" customHeight="1">
      <c r="B53" s="50">
        <v>49</v>
      </c>
      <c r="C53" s="48">
        <v>2.3E-2</v>
      </c>
      <c r="D53" s="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256"/>
      <c r="AH53" s="128" t="e">
        <f t="shared" si="5"/>
        <v>#DIV/0!</v>
      </c>
      <c r="AI53" s="54" t="e">
        <f t="shared" si="6"/>
        <v>#DIV/0!</v>
      </c>
      <c r="AJ53" s="55" t="e">
        <f t="shared" si="7"/>
        <v>#DIV/0!</v>
      </c>
      <c r="AK53" s="344" t="e">
        <f>100*STDEV(D53,G53,J53,M53,P53,S53,V53,Y53,AB53,AE53)/$C$53</f>
        <v>#DIV/0!</v>
      </c>
      <c r="AL53" s="54" t="e">
        <f>100*STDEV(E53,H53,K53,N53,Q53,T53,W53,Z53,AC53,AF53)/$C$53</f>
        <v>#DIV/0!</v>
      </c>
      <c r="AM53" s="55" t="e">
        <f>100*STDEV(F53,I53,L53,O53,R53,U53,X53,AA53,AD53,AG53)/$C$53</f>
        <v>#DIV/0!</v>
      </c>
      <c r="AN53" s="44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256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256"/>
      <c r="BR53" s="128" t="e">
        <f t="shared" si="8"/>
        <v>#DIV/0!</v>
      </c>
      <c r="BS53" s="54" t="e">
        <f t="shared" si="9"/>
        <v>#DIV/0!</v>
      </c>
      <c r="BT53" s="55" t="e">
        <f t="shared" si="10"/>
        <v>#DIV/0!</v>
      </c>
      <c r="BU53" s="344" t="e">
        <f>100*STDEV(AN53,AQ53,AT53,AW53,AZ53,BC53,BF53,BI53,BL53,BO53)/$C$53</f>
        <v>#DIV/0!</v>
      </c>
      <c r="BV53" s="54" t="e">
        <f>100*STDEV(AO53,AR53,AU53,AX53,BA53,BD53,BG53,BJ53,BM53,BP53)/$C$53</f>
        <v>#DIV/0!</v>
      </c>
      <c r="BW53" s="55" t="e">
        <f>100*STDEV(AP53,AS53,AV53,AY53,BB53,BE53,BH53,BK53,BN53,BQ53)/$C$53</f>
        <v>#DIV/0!</v>
      </c>
      <c r="BX53" s="167" t="e">
        <f t="shared" si="12"/>
        <v>#DIV/0!</v>
      </c>
      <c r="BY53" s="165" t="e">
        <f t="shared" si="13"/>
        <v>#DIV/0!</v>
      </c>
      <c r="BZ53" s="166" t="e">
        <f t="shared" si="14"/>
        <v>#DIV/0!</v>
      </c>
      <c r="CA53" s="164" t="e">
        <f t="shared" si="15"/>
        <v>#DIV/0!</v>
      </c>
      <c r="CB53" s="165" t="e">
        <f t="shared" si="16"/>
        <v>#DIV/0!</v>
      </c>
      <c r="CC53" s="166" t="e">
        <f t="shared" si="17"/>
        <v>#DIV/0!</v>
      </c>
    </row>
    <row r="54" spans="2:81" ht="15" customHeight="1" thickBot="1">
      <c r="B54" s="51">
        <v>50</v>
      </c>
      <c r="C54" s="49">
        <v>2.3E-2</v>
      </c>
      <c r="D54" s="15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257"/>
      <c r="AH54" s="129" t="e">
        <f t="shared" si="5"/>
        <v>#DIV/0!</v>
      </c>
      <c r="AI54" s="56" t="e">
        <f t="shared" si="6"/>
        <v>#DIV/0!</v>
      </c>
      <c r="AJ54" s="57" t="e">
        <f t="shared" si="7"/>
        <v>#DIV/0!</v>
      </c>
      <c r="AK54" s="393" t="e">
        <f>100*STDEV(D54,G54,J54,M54,P54,S54,V54,Y54,AB54,AE54)/$C$54</f>
        <v>#DIV/0!</v>
      </c>
      <c r="AL54" s="56" t="e">
        <f>100*STDEV(E54,H54,K54,N54,Q54,T54,W54,Z54,AC54,AF54)/$C$54</f>
        <v>#DIV/0!</v>
      </c>
      <c r="AM54" s="57" t="e">
        <f>100*STDEV(F54,I54,L54,O54,R54,U54,X54,AA54,AD54,AG54)/$C$54</f>
        <v>#DIV/0!</v>
      </c>
      <c r="AN54" s="68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257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257"/>
      <c r="BR54" s="129" t="e">
        <f t="shared" si="8"/>
        <v>#DIV/0!</v>
      </c>
      <c r="BS54" s="56" t="e">
        <f t="shared" si="9"/>
        <v>#DIV/0!</v>
      </c>
      <c r="BT54" s="57" t="e">
        <f t="shared" si="10"/>
        <v>#DIV/0!</v>
      </c>
      <c r="BU54" s="393" t="e">
        <f>100*STDEV(AN54,AQ54,AT54,AW54,AZ54,BC54,BF54,BI54,BL54,BO54)/$C$54</f>
        <v>#DIV/0!</v>
      </c>
      <c r="BV54" s="56" t="e">
        <f>100*STDEV(AO54,AR54,AU54,AX54,BA54,BD54,BG54,BJ54,BM54,BP54)/$C$54</f>
        <v>#DIV/0!</v>
      </c>
      <c r="BW54" s="57" t="e">
        <f>100*STDEV(AP54,AS54,AV54,AY54,BB54,BE54,BH54,BK54,BN54,BQ54)/$C$54</f>
        <v>#DIV/0!</v>
      </c>
      <c r="BX54" s="400" t="e">
        <f t="shared" si="12"/>
        <v>#DIV/0!</v>
      </c>
      <c r="BY54" s="169" t="e">
        <f t="shared" si="13"/>
        <v>#DIV/0!</v>
      </c>
      <c r="BZ54" s="170" t="e">
        <f t="shared" si="14"/>
        <v>#DIV/0!</v>
      </c>
      <c r="CA54" s="168" t="e">
        <f t="shared" si="15"/>
        <v>#DIV/0!</v>
      </c>
      <c r="CB54" s="169" t="e">
        <f t="shared" si="16"/>
        <v>#DIV/0!</v>
      </c>
      <c r="CC54" s="170" t="e">
        <f t="shared" si="17"/>
        <v>#DIV/0!</v>
      </c>
    </row>
    <row r="55" spans="2:81" ht="15" customHeight="1">
      <c r="B55" s="39"/>
    </row>
    <row r="56" spans="2:81" ht="15" customHeight="1">
      <c r="B56" s="39"/>
    </row>
    <row r="57" spans="2:81" ht="15" customHeight="1">
      <c r="B57" s="39"/>
    </row>
    <row r="58" spans="2:81" ht="15" customHeight="1">
      <c r="B58" s="39"/>
    </row>
    <row r="59" spans="2:81" ht="15" customHeight="1">
      <c r="B59" s="39"/>
    </row>
    <row r="60" spans="2:81" ht="15" customHeight="1">
      <c r="B60" s="39"/>
    </row>
    <row r="61" spans="2:81" ht="15" customHeight="1">
      <c r="B61" s="39"/>
    </row>
    <row r="62" spans="2:81" ht="15" customHeight="1">
      <c r="B62" s="39"/>
    </row>
    <row r="63" spans="2:81" ht="15" customHeight="1">
      <c r="B63" s="39"/>
    </row>
    <row r="64" spans="2:81" ht="15" customHeight="1">
      <c r="B64" s="39"/>
    </row>
    <row r="65" spans="2:2" ht="15" customHeight="1">
      <c r="B65" s="39"/>
    </row>
    <row r="66" spans="2:2" ht="15" customHeight="1">
      <c r="B66" s="39"/>
    </row>
    <row r="67" spans="2:2" ht="15" customHeight="1">
      <c r="B67" s="39"/>
    </row>
    <row r="68" spans="2:2" ht="15" customHeight="1">
      <c r="B68" s="39"/>
    </row>
    <row r="69" spans="2:2" ht="15" customHeight="1">
      <c r="B69" s="39"/>
    </row>
    <row r="70" spans="2:2" ht="15" customHeight="1">
      <c r="B70" s="39"/>
    </row>
    <row r="71" spans="2:2" ht="15" customHeight="1">
      <c r="B71" s="39"/>
    </row>
    <row r="72" spans="2:2" ht="15" customHeight="1">
      <c r="B72" s="39"/>
    </row>
    <row r="73" spans="2:2" ht="15" customHeight="1">
      <c r="B73" s="39"/>
    </row>
    <row r="74" spans="2:2" ht="15" customHeight="1">
      <c r="B74" s="39"/>
    </row>
    <row r="75" spans="2:2" ht="15" customHeight="1">
      <c r="B75" s="39"/>
    </row>
    <row r="76" spans="2:2" ht="15" customHeight="1">
      <c r="B76" s="39"/>
    </row>
    <row r="77" spans="2:2" ht="15" customHeight="1">
      <c r="B77" s="39"/>
    </row>
    <row r="78" spans="2:2" ht="15" customHeight="1">
      <c r="B78" s="39"/>
    </row>
    <row r="79" spans="2:2" ht="15" customHeight="1">
      <c r="B79" s="39"/>
    </row>
    <row r="80" spans="2:2" ht="15" customHeight="1">
      <c r="B80" s="39"/>
    </row>
    <row r="81" spans="2:2" ht="15" customHeight="1">
      <c r="B81" s="39"/>
    </row>
    <row r="82" spans="2:2" ht="15" customHeight="1">
      <c r="B82" s="39"/>
    </row>
    <row r="83" spans="2:2" ht="15" customHeight="1">
      <c r="B83" s="39"/>
    </row>
    <row r="84" spans="2:2" ht="15" customHeight="1">
      <c r="B84" s="39"/>
    </row>
    <row r="85" spans="2:2" ht="15" customHeight="1">
      <c r="B85" s="39"/>
    </row>
    <row r="86" spans="2:2" ht="15" customHeight="1">
      <c r="B86" s="39"/>
    </row>
    <row r="87" spans="2:2" ht="15" customHeight="1">
      <c r="B87" s="39"/>
    </row>
    <row r="88" spans="2:2" ht="15" customHeight="1">
      <c r="B88" s="39"/>
    </row>
    <row r="89" spans="2:2" ht="15" customHeight="1">
      <c r="B89" s="39"/>
    </row>
    <row r="90" spans="2:2" ht="15" customHeight="1">
      <c r="B90" s="39"/>
    </row>
    <row r="91" spans="2:2" ht="15" customHeight="1">
      <c r="B91" s="39"/>
    </row>
    <row r="92" spans="2:2" ht="15" customHeight="1">
      <c r="B92" s="39"/>
    </row>
    <row r="93" spans="2:2" ht="15" customHeight="1">
      <c r="B93" s="39"/>
    </row>
    <row r="94" spans="2:2" ht="15" customHeight="1">
      <c r="B94" s="39"/>
    </row>
    <row r="95" spans="2:2" ht="15" customHeight="1">
      <c r="B95" s="39"/>
    </row>
    <row r="96" spans="2:2" ht="15" customHeight="1">
      <c r="B96" s="39"/>
    </row>
    <row r="97" spans="2:2" ht="15" customHeight="1">
      <c r="B97" s="39"/>
    </row>
    <row r="98" spans="2:2" ht="15" customHeight="1">
      <c r="B98" s="39"/>
    </row>
    <row r="99" spans="2:2" ht="15" customHeight="1">
      <c r="B99" s="39"/>
    </row>
    <row r="100" spans="2:2" ht="15" customHeight="1">
      <c r="B100" s="39"/>
    </row>
    <row r="101" spans="2:2" ht="15" customHeight="1">
      <c r="B101" s="39"/>
    </row>
    <row r="102" spans="2:2" ht="15" customHeight="1">
      <c r="B102" s="39"/>
    </row>
    <row r="103" spans="2:2" ht="15" customHeight="1">
      <c r="B103" s="39"/>
    </row>
    <row r="104" spans="2:2" ht="15" customHeight="1">
      <c r="B104" s="39"/>
    </row>
    <row r="105" spans="2:2" ht="15" customHeight="1">
      <c r="B105" s="39"/>
    </row>
    <row r="106" spans="2:2" ht="15" customHeight="1">
      <c r="B106" s="39"/>
    </row>
    <row r="107" spans="2:2" ht="15" customHeight="1">
      <c r="B107" s="39"/>
    </row>
    <row r="108" spans="2:2" ht="15" customHeight="1">
      <c r="B108" s="39"/>
    </row>
    <row r="109" spans="2:2" ht="15" customHeight="1">
      <c r="B109" s="39"/>
    </row>
    <row r="110" spans="2:2" ht="15" customHeight="1">
      <c r="B110" s="39"/>
    </row>
    <row r="111" spans="2:2" ht="15" customHeight="1">
      <c r="B111" s="39"/>
    </row>
    <row r="112" spans="2:2" ht="15" customHeight="1">
      <c r="B112" s="39"/>
    </row>
    <row r="113" spans="2:2" ht="15" customHeight="1">
      <c r="B113" s="39"/>
    </row>
    <row r="114" spans="2:2" ht="15" customHeight="1">
      <c r="B114" s="39"/>
    </row>
    <row r="115" spans="2:2" ht="15" customHeight="1">
      <c r="B115" s="39"/>
    </row>
    <row r="116" spans="2:2" ht="15" customHeight="1">
      <c r="B116" s="39"/>
    </row>
    <row r="117" spans="2:2" ht="15" customHeight="1">
      <c r="B117" s="39"/>
    </row>
    <row r="118" spans="2:2" ht="15" customHeight="1">
      <c r="B118" s="39"/>
    </row>
    <row r="119" spans="2:2" ht="15" customHeight="1">
      <c r="B119" s="39"/>
    </row>
    <row r="120" spans="2:2" ht="15" customHeight="1">
      <c r="B120" s="39"/>
    </row>
    <row r="121" spans="2:2" ht="15" customHeight="1">
      <c r="B121" s="39"/>
    </row>
    <row r="122" spans="2:2" ht="15" customHeight="1">
      <c r="B122" s="39"/>
    </row>
    <row r="123" spans="2:2" ht="15" customHeight="1">
      <c r="B123" s="39"/>
    </row>
    <row r="124" spans="2:2" ht="15" customHeight="1">
      <c r="B124" s="39"/>
    </row>
    <row r="125" spans="2:2" ht="15" customHeight="1">
      <c r="B125" s="39"/>
    </row>
    <row r="126" spans="2:2" ht="15" customHeight="1">
      <c r="B126" s="39"/>
    </row>
    <row r="127" spans="2:2" ht="15" customHeight="1">
      <c r="B127" s="39"/>
    </row>
    <row r="128" spans="2:2">
      <c r="B128" s="39"/>
    </row>
    <row r="129" spans="2:2">
      <c r="B129" s="39"/>
    </row>
    <row r="130" spans="2:2">
      <c r="B130" s="39"/>
    </row>
    <row r="131" spans="2:2">
      <c r="B131" s="39"/>
    </row>
    <row r="132" spans="2:2">
      <c r="B132" s="39"/>
    </row>
    <row r="133" spans="2:2">
      <c r="B133" s="39"/>
    </row>
    <row r="134" spans="2:2">
      <c r="B134" s="39"/>
    </row>
    <row r="135" spans="2:2">
      <c r="B135" s="39"/>
    </row>
    <row r="136" spans="2:2">
      <c r="B136" s="39"/>
    </row>
    <row r="137" spans="2:2">
      <c r="B137" s="39"/>
    </row>
  </sheetData>
  <mergeCells count="28">
    <mergeCell ref="CA2:CC3"/>
    <mergeCell ref="BR3:BT3"/>
    <mergeCell ref="BU3:BW3"/>
    <mergeCell ref="J3:L3"/>
    <mergeCell ref="M3:O3"/>
    <mergeCell ref="P3:R3"/>
    <mergeCell ref="AH3:AJ3"/>
    <mergeCell ref="AT3:AV3"/>
    <mergeCell ref="AK3:AM3"/>
    <mergeCell ref="AN3:AP3"/>
    <mergeCell ref="AQ3:AS3"/>
    <mergeCell ref="AW3:AY3"/>
    <mergeCell ref="AZ3:BB3"/>
    <mergeCell ref="D3:F3"/>
    <mergeCell ref="G3:I3"/>
    <mergeCell ref="D2:AM2"/>
    <mergeCell ref="AN2:BW2"/>
    <mergeCell ref="BX2:BZ3"/>
    <mergeCell ref="S3:U3"/>
    <mergeCell ref="V3:X3"/>
    <mergeCell ref="Y3:AA3"/>
    <mergeCell ref="AB3:AD3"/>
    <mergeCell ref="AE3:AG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92D050"/>
  </sheetPr>
  <dimension ref="B1:CC137"/>
  <sheetViews>
    <sheetView zoomScale="70" zoomScaleNormal="70" workbookViewId="0">
      <selection activeCell="CB13" sqref="CB13"/>
    </sheetView>
  </sheetViews>
  <sheetFormatPr defaultRowHeight="14.4"/>
  <cols>
    <col min="1" max="1" width="6.88671875" customWidth="1"/>
    <col min="2" max="2" width="9.5546875" customWidth="1"/>
    <col min="3" max="3" width="19.33203125" bestFit="1" customWidth="1"/>
    <col min="4" max="81" width="9.6640625" customWidth="1"/>
  </cols>
  <sheetData>
    <row r="1" spans="2:81" s="43" customFormat="1" ht="25.5" customHeight="1" thickBot="1"/>
    <row r="2" spans="2:81" ht="20.25" customHeight="1" thickBot="1">
      <c r="D2" s="583" t="s">
        <v>2</v>
      </c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5"/>
      <c r="AN2" s="586" t="s">
        <v>3</v>
      </c>
      <c r="AO2" s="587"/>
      <c r="AP2" s="587"/>
      <c r="AQ2" s="587"/>
      <c r="AR2" s="587"/>
      <c r="AS2" s="587"/>
      <c r="AT2" s="587"/>
      <c r="AU2" s="587"/>
      <c r="AV2" s="587"/>
      <c r="AW2" s="587"/>
      <c r="AX2" s="587"/>
      <c r="AY2" s="587"/>
      <c r="AZ2" s="587"/>
      <c r="BA2" s="587"/>
      <c r="BB2" s="587"/>
      <c r="BC2" s="587"/>
      <c r="BD2" s="587"/>
      <c r="BE2" s="587"/>
      <c r="BF2" s="587"/>
      <c r="BG2" s="587"/>
      <c r="BH2" s="587"/>
      <c r="BI2" s="587"/>
      <c r="BJ2" s="587"/>
      <c r="BK2" s="587"/>
      <c r="BL2" s="587"/>
      <c r="BM2" s="587"/>
      <c r="BN2" s="587"/>
      <c r="BO2" s="587"/>
      <c r="BP2" s="587"/>
      <c r="BQ2" s="587"/>
      <c r="BR2" s="587"/>
      <c r="BS2" s="587"/>
      <c r="BT2" s="587"/>
      <c r="BU2" s="587"/>
      <c r="BV2" s="587"/>
      <c r="BW2" s="587"/>
      <c r="BX2" s="599" t="s">
        <v>138</v>
      </c>
      <c r="BY2" s="589"/>
      <c r="BZ2" s="590"/>
      <c r="CA2" s="599" t="s">
        <v>139</v>
      </c>
      <c r="CB2" s="589"/>
      <c r="CC2" s="590"/>
    </row>
    <row r="3" spans="2:81" s="42" customFormat="1" ht="15.75" customHeight="1" thickBot="1">
      <c r="B3" s="394"/>
      <c r="C3" s="395"/>
      <c r="D3" s="579" t="s">
        <v>4</v>
      </c>
      <c r="E3" s="580"/>
      <c r="F3" s="581"/>
      <c r="G3" s="582" t="s">
        <v>5</v>
      </c>
      <c r="H3" s="580"/>
      <c r="I3" s="581"/>
      <c r="J3" s="582" t="s">
        <v>6</v>
      </c>
      <c r="K3" s="580"/>
      <c r="L3" s="581"/>
      <c r="M3" s="582" t="s">
        <v>7</v>
      </c>
      <c r="N3" s="580"/>
      <c r="O3" s="581"/>
      <c r="P3" s="582" t="s">
        <v>8</v>
      </c>
      <c r="Q3" s="580"/>
      <c r="R3" s="581"/>
      <c r="S3" s="580" t="s">
        <v>115</v>
      </c>
      <c r="T3" s="580"/>
      <c r="U3" s="581"/>
      <c r="V3" s="582" t="s">
        <v>116</v>
      </c>
      <c r="W3" s="580"/>
      <c r="X3" s="581"/>
      <c r="Y3" s="582" t="s">
        <v>117</v>
      </c>
      <c r="Z3" s="580"/>
      <c r="AA3" s="581"/>
      <c r="AB3" s="582" t="s">
        <v>118</v>
      </c>
      <c r="AC3" s="580"/>
      <c r="AD3" s="581"/>
      <c r="AE3" s="582" t="s">
        <v>119</v>
      </c>
      <c r="AF3" s="580"/>
      <c r="AG3" s="580"/>
      <c r="AH3" s="593" t="s">
        <v>9</v>
      </c>
      <c r="AI3" s="594"/>
      <c r="AJ3" s="595"/>
      <c r="AK3" s="593" t="s">
        <v>162</v>
      </c>
      <c r="AL3" s="594"/>
      <c r="AM3" s="595"/>
      <c r="AN3" s="580" t="s">
        <v>4</v>
      </c>
      <c r="AO3" s="580"/>
      <c r="AP3" s="581"/>
      <c r="AQ3" s="582" t="s">
        <v>5</v>
      </c>
      <c r="AR3" s="580"/>
      <c r="AS3" s="581"/>
      <c r="AT3" s="582" t="s">
        <v>6</v>
      </c>
      <c r="AU3" s="580"/>
      <c r="AV3" s="581"/>
      <c r="AW3" s="582" t="s">
        <v>7</v>
      </c>
      <c r="AX3" s="580"/>
      <c r="AY3" s="581"/>
      <c r="AZ3" s="582" t="s">
        <v>8</v>
      </c>
      <c r="BA3" s="580"/>
      <c r="BB3" s="580"/>
      <c r="BC3" s="580" t="s">
        <v>115</v>
      </c>
      <c r="BD3" s="580"/>
      <c r="BE3" s="581"/>
      <c r="BF3" s="582" t="s">
        <v>116</v>
      </c>
      <c r="BG3" s="580"/>
      <c r="BH3" s="581"/>
      <c r="BI3" s="582" t="s">
        <v>117</v>
      </c>
      <c r="BJ3" s="580"/>
      <c r="BK3" s="581"/>
      <c r="BL3" s="582" t="s">
        <v>118</v>
      </c>
      <c r="BM3" s="580"/>
      <c r="BN3" s="581"/>
      <c r="BO3" s="582" t="s">
        <v>119</v>
      </c>
      <c r="BP3" s="580"/>
      <c r="BQ3" s="580"/>
      <c r="BR3" s="593" t="s">
        <v>9</v>
      </c>
      <c r="BS3" s="594"/>
      <c r="BT3" s="595"/>
      <c r="BU3" s="596" t="s">
        <v>162</v>
      </c>
      <c r="BV3" s="597"/>
      <c r="BW3" s="598"/>
      <c r="BX3" s="600"/>
      <c r="BY3" s="591"/>
      <c r="BZ3" s="592"/>
      <c r="CA3" s="600"/>
      <c r="CB3" s="591"/>
      <c r="CC3" s="592"/>
    </row>
    <row r="4" spans="2:81" s="43" customFormat="1" ht="24" customHeight="1" thickBot="1">
      <c r="B4" s="63" t="s">
        <v>10</v>
      </c>
      <c r="C4" s="64" t="s">
        <v>160</v>
      </c>
      <c r="D4" s="69" t="s">
        <v>132</v>
      </c>
      <c r="E4" s="59" t="s">
        <v>133</v>
      </c>
      <c r="F4" s="59" t="s">
        <v>134</v>
      </c>
      <c r="G4" s="69" t="s">
        <v>132</v>
      </c>
      <c r="H4" s="59" t="s">
        <v>133</v>
      </c>
      <c r="I4" s="59" t="s">
        <v>134</v>
      </c>
      <c r="J4" s="69" t="s">
        <v>132</v>
      </c>
      <c r="K4" s="59" t="s">
        <v>133</v>
      </c>
      <c r="L4" s="59" t="s">
        <v>134</v>
      </c>
      <c r="M4" s="69" t="s">
        <v>132</v>
      </c>
      <c r="N4" s="59" t="s">
        <v>133</v>
      </c>
      <c r="O4" s="59" t="s">
        <v>134</v>
      </c>
      <c r="P4" s="69" t="s">
        <v>132</v>
      </c>
      <c r="Q4" s="59" t="s">
        <v>133</v>
      </c>
      <c r="R4" s="59" t="s">
        <v>134</v>
      </c>
      <c r="S4" s="69" t="s">
        <v>132</v>
      </c>
      <c r="T4" s="59" t="s">
        <v>133</v>
      </c>
      <c r="U4" s="59" t="s">
        <v>134</v>
      </c>
      <c r="V4" s="69" t="s">
        <v>132</v>
      </c>
      <c r="W4" s="59" t="s">
        <v>133</v>
      </c>
      <c r="X4" s="59" t="s">
        <v>134</v>
      </c>
      <c r="Y4" s="69" t="s">
        <v>132</v>
      </c>
      <c r="Z4" s="59" t="s">
        <v>133</v>
      </c>
      <c r="AA4" s="59" t="s">
        <v>134</v>
      </c>
      <c r="AB4" s="69" t="s">
        <v>132</v>
      </c>
      <c r="AC4" s="59" t="s">
        <v>133</v>
      </c>
      <c r="AD4" s="59" t="s">
        <v>134</v>
      </c>
      <c r="AE4" s="69" t="s">
        <v>132</v>
      </c>
      <c r="AF4" s="59" t="s">
        <v>133</v>
      </c>
      <c r="AG4" s="126" t="s">
        <v>134</v>
      </c>
      <c r="AH4" s="58" t="s">
        <v>132</v>
      </c>
      <c r="AI4" s="59" t="s">
        <v>133</v>
      </c>
      <c r="AJ4" s="60" t="s">
        <v>134</v>
      </c>
      <c r="AK4" s="58" t="s">
        <v>161</v>
      </c>
      <c r="AL4" s="59" t="s">
        <v>163</v>
      </c>
      <c r="AM4" s="60" t="s">
        <v>164</v>
      </c>
      <c r="AN4" s="69" t="s">
        <v>132</v>
      </c>
      <c r="AO4" s="59" t="s">
        <v>133</v>
      </c>
      <c r="AP4" s="59" t="s">
        <v>134</v>
      </c>
      <c r="AQ4" s="69" t="s">
        <v>132</v>
      </c>
      <c r="AR4" s="59" t="s">
        <v>133</v>
      </c>
      <c r="AS4" s="59" t="s">
        <v>134</v>
      </c>
      <c r="AT4" s="69" t="s">
        <v>132</v>
      </c>
      <c r="AU4" s="59" t="s">
        <v>133</v>
      </c>
      <c r="AV4" s="59" t="s">
        <v>134</v>
      </c>
      <c r="AW4" s="69" t="s">
        <v>132</v>
      </c>
      <c r="AX4" s="59" t="s">
        <v>133</v>
      </c>
      <c r="AY4" s="59" t="s">
        <v>134</v>
      </c>
      <c r="AZ4" s="69" t="s">
        <v>132</v>
      </c>
      <c r="BA4" s="59" t="s">
        <v>133</v>
      </c>
      <c r="BB4" s="59" t="s">
        <v>134</v>
      </c>
      <c r="BC4" s="69" t="s">
        <v>132</v>
      </c>
      <c r="BD4" s="59" t="s">
        <v>133</v>
      </c>
      <c r="BE4" s="59" t="s">
        <v>134</v>
      </c>
      <c r="BF4" s="69" t="s">
        <v>132</v>
      </c>
      <c r="BG4" s="59" t="s">
        <v>133</v>
      </c>
      <c r="BH4" s="59" t="s">
        <v>134</v>
      </c>
      <c r="BI4" s="69" t="s">
        <v>132</v>
      </c>
      <c r="BJ4" s="59" t="s">
        <v>133</v>
      </c>
      <c r="BK4" s="59" t="s">
        <v>134</v>
      </c>
      <c r="BL4" s="69" t="s">
        <v>132</v>
      </c>
      <c r="BM4" s="59" t="s">
        <v>133</v>
      </c>
      <c r="BN4" s="59" t="s">
        <v>134</v>
      </c>
      <c r="BO4" s="69" t="s">
        <v>132</v>
      </c>
      <c r="BP4" s="59" t="s">
        <v>133</v>
      </c>
      <c r="BQ4" s="126" t="s">
        <v>134</v>
      </c>
      <c r="BR4" s="58" t="s">
        <v>132</v>
      </c>
      <c r="BS4" s="59" t="s">
        <v>133</v>
      </c>
      <c r="BT4" s="60" t="s">
        <v>134</v>
      </c>
      <c r="BU4" s="58" t="s">
        <v>161</v>
      </c>
      <c r="BV4" s="59" t="s">
        <v>163</v>
      </c>
      <c r="BW4" s="60" t="s">
        <v>164</v>
      </c>
      <c r="BX4" s="495" t="s">
        <v>135</v>
      </c>
      <c r="BY4" s="496" t="s">
        <v>136</v>
      </c>
      <c r="BZ4" s="497" t="s">
        <v>137</v>
      </c>
      <c r="CA4" s="495" t="s">
        <v>135</v>
      </c>
      <c r="CB4" s="496" t="s">
        <v>136</v>
      </c>
      <c r="CC4" s="497" t="s">
        <v>137</v>
      </c>
    </row>
    <row r="5" spans="2:81" ht="15" customHeight="1" thickBot="1">
      <c r="B5" s="61">
        <v>1</v>
      </c>
      <c r="C5" s="62">
        <v>20</v>
      </c>
      <c r="D5" s="1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399"/>
      <c r="AH5" s="127" t="e">
        <f>AVERAGE(D5,G5,J5,M5,P5,S5,V5,Y5,AB5,AE5)</f>
        <v>#DIV/0!</v>
      </c>
      <c r="AI5" s="52" t="e">
        <f>AVERAGE(E5,H5,K5,N5,Q5,T5,W5,Z5,AC5,AF5)</f>
        <v>#DIV/0!</v>
      </c>
      <c r="AJ5" s="53" t="e">
        <f>AVERAGE(F5,I5,L5,O5,R5,U5,X5,AA5,AD5,AG5)</f>
        <v>#DIV/0!</v>
      </c>
      <c r="AK5" s="392" t="e">
        <f>100*STDEV(D5,G5,J5,M5,P5,S5,V5,Y5,AB5,AE5)/$C$5</f>
        <v>#DIV/0!</v>
      </c>
      <c r="AL5" s="52" t="e">
        <f>100*STDEV(E5,H5,K5,N5,Q5,T5,W5,Z5,AC5,AF5)/$C$5</f>
        <v>#DIV/0!</v>
      </c>
      <c r="AM5" s="53" t="e">
        <f>100*STDEV(F5,I5,L5,O5,R5,U5,X5,AA5,AD5,AG5)/$C$5</f>
        <v>#DIV/0!</v>
      </c>
      <c r="AN5" s="67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303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399"/>
      <c r="BR5" s="127" t="e">
        <f>AVERAGE(AN5,AQ5,AT5,AW5,AZ5,BC5,BF5,BI5,BL5,BO5)</f>
        <v>#DIV/0!</v>
      </c>
      <c r="BS5" s="392" t="e">
        <f>AVERAGE(AO5,AR5,AU5,AX5,BA5,BD5,BG5,BJ5,BM5,BP5)</f>
        <v>#DIV/0!</v>
      </c>
      <c r="BT5" s="345" t="e">
        <f>AVERAGE(AP5,AS5,AV5,AY5,BB5,BE5,BH5,BK5,BN5,BQ5)</f>
        <v>#DIV/0!</v>
      </c>
      <c r="BU5" s="392" t="e">
        <f>100*STDEV(AN5,AQ5,AT5,AW5,AZ5,BC5,BF5,BI5,BL5,BO5)/$C$5</f>
        <v>#DIV/0!</v>
      </c>
      <c r="BV5" s="52" t="e">
        <f>100*STDEV(AO5,AR5,AU5,AX5,BA5,BD5,BG5,BJ5,BM5,BP5)/$C$5</f>
        <v>#DIV/0!</v>
      </c>
      <c r="BW5" s="345" t="e">
        <f>100*STDEV(AP5,AS5,AV5,AY5,BB5,BE5,BH5,BK5,BN5,BQ5)/$C$5</f>
        <v>#DIV/0!</v>
      </c>
      <c r="BX5" s="160" t="e">
        <f>(AH5-C5)*1000</f>
        <v>#DIV/0!</v>
      </c>
      <c r="BY5" s="161" t="e">
        <f t="shared" ref="BY5:BY54" si="0">(AI5-C5)*1000</f>
        <v>#DIV/0!</v>
      </c>
      <c r="BZ5" s="162" t="e">
        <f t="shared" ref="BZ5:BZ54" si="1">(AJ5-C5)*1000</f>
        <v>#DIV/0!</v>
      </c>
      <c r="CA5" s="160" t="e">
        <f t="shared" ref="CA5:CA54" si="2">(BR5-C5)*1000</f>
        <v>#DIV/0!</v>
      </c>
      <c r="CB5" s="161" t="e">
        <f t="shared" ref="CB5:CB54" si="3">(BS5-C5)*1000</f>
        <v>#DIV/0!</v>
      </c>
      <c r="CC5" s="162" t="e">
        <f t="shared" ref="CC5:CC54" si="4">(BT5-C5)*1000</f>
        <v>#DIV/0!</v>
      </c>
    </row>
    <row r="6" spans="2:81" ht="15" customHeight="1" thickBot="1">
      <c r="B6" s="50">
        <v>2</v>
      </c>
      <c r="C6" s="48">
        <v>9.3919999999999995</v>
      </c>
      <c r="D6" s="4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256"/>
      <c r="AH6" s="128" t="e">
        <f t="shared" ref="AH6:AJ54" si="5">AVERAGE(D6,G6,J6,M6,P6,S6,V6,Y6,AB6,AE6)</f>
        <v>#DIV/0!</v>
      </c>
      <c r="AI6" s="54" t="e">
        <f t="shared" si="5"/>
        <v>#DIV/0!</v>
      </c>
      <c r="AJ6" s="55" t="e">
        <f t="shared" si="5"/>
        <v>#DIV/0!</v>
      </c>
      <c r="AK6" s="344" t="e">
        <f>100*STDEV(D6,G6,J6,M6,P6,S6,V6,Y6,AB6,AE6)/$C$6</f>
        <v>#DIV/0!</v>
      </c>
      <c r="AL6" s="54" t="e">
        <f>100*STDEV(E6,H6,K6,N6,Q6,T6,W6,Z6,AC6,AF6)/$C$6</f>
        <v>#DIV/0!</v>
      </c>
      <c r="AM6" s="55" t="e">
        <f>100*STDEV(F6,I6,L6,O6,R6,U6,X6,AA6,AD6,AG6)/$C$6</f>
        <v>#DIV/0!</v>
      </c>
      <c r="AN6" s="44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256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256"/>
      <c r="BR6" s="127" t="e">
        <f t="shared" ref="BR6:BT54" si="6">AVERAGE(AN6,AQ6,AT6,AW6,AZ6,BC6,BF6,BI6,BL6,BO6)</f>
        <v>#DIV/0!</v>
      </c>
      <c r="BS6" s="392" t="e">
        <f t="shared" si="6"/>
        <v>#DIV/0!</v>
      </c>
      <c r="BT6" s="345" t="e">
        <f t="shared" si="6"/>
        <v>#DIV/0!</v>
      </c>
      <c r="BU6" s="392" t="e">
        <f>100*STDEV(AN6,AQ6,AT6,AW6,AZ6,BC6,BF6,BI6,BL6,BO6)/$C$6</f>
        <v>#DIV/0!</v>
      </c>
      <c r="BV6" s="52" t="e">
        <f>100*STDEV(AO6,AR6,AU6,AX6,BA6,BD6,BG6,BJ6,BM6,BP6)/$C$6</f>
        <v>#DIV/0!</v>
      </c>
      <c r="BW6" s="345" t="e">
        <f>100*STDEV(AP6,AS6,AV6,AY6,BB6,BE6,BH6,BK6,BN6,BQ6)/$C$6</f>
        <v>#DIV/0!</v>
      </c>
      <c r="BX6" s="164" t="e">
        <f t="shared" ref="BX6:BX54" si="7">(AH6-C6)*1000</f>
        <v>#DIV/0!</v>
      </c>
      <c r="BY6" s="165" t="e">
        <f t="shared" si="0"/>
        <v>#DIV/0!</v>
      </c>
      <c r="BZ6" s="166" t="e">
        <f t="shared" si="1"/>
        <v>#DIV/0!</v>
      </c>
      <c r="CA6" s="164" t="e">
        <f t="shared" si="2"/>
        <v>#DIV/0!</v>
      </c>
      <c r="CB6" s="165" t="e">
        <f t="shared" si="3"/>
        <v>#DIV/0!</v>
      </c>
      <c r="CC6" s="166" t="e">
        <f t="shared" si="4"/>
        <v>#DIV/0!</v>
      </c>
    </row>
    <row r="7" spans="2:81" ht="15" customHeight="1" thickBot="1">
      <c r="B7" s="50">
        <v>3</v>
      </c>
      <c r="C7" s="48">
        <v>20</v>
      </c>
      <c r="D7" s="4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256"/>
      <c r="AH7" s="128" t="e">
        <f t="shared" si="5"/>
        <v>#DIV/0!</v>
      </c>
      <c r="AI7" s="54" t="e">
        <f t="shared" si="5"/>
        <v>#DIV/0!</v>
      </c>
      <c r="AJ7" s="55" t="e">
        <f t="shared" si="5"/>
        <v>#DIV/0!</v>
      </c>
      <c r="AK7" s="344" t="e">
        <f>100*STDEV(D7,G7,J7,M7,P7,S7,V7,Y7,AB7,AE7)/$C$7</f>
        <v>#DIV/0!</v>
      </c>
      <c r="AL7" s="54" t="e">
        <f>100*STDEV(E7,H7,K7,N7,Q7,T7,W7,Z7,AC7,AF7)/$C$7</f>
        <v>#DIV/0!</v>
      </c>
      <c r="AM7" s="55" t="e">
        <f>100*STDEV(F7,I7,L7,O7,R7,U7,X7,AA7,AD7,AG7)/$C$7</f>
        <v>#DIV/0!</v>
      </c>
      <c r="AN7" s="44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256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256"/>
      <c r="BR7" s="127" t="e">
        <f t="shared" si="6"/>
        <v>#DIV/0!</v>
      </c>
      <c r="BS7" s="392" t="e">
        <f t="shared" si="6"/>
        <v>#DIV/0!</v>
      </c>
      <c r="BT7" s="345" t="e">
        <f t="shared" si="6"/>
        <v>#DIV/0!</v>
      </c>
      <c r="BU7" s="392" t="e">
        <f>100*STDEV(AN7,AQ7,AT7,AW7,AZ7,BC7,BF7,BI7,BL7,BO7)/$C$7</f>
        <v>#DIV/0!</v>
      </c>
      <c r="BV7" s="52" t="e">
        <f>100*STDEV(AO7,AR7,AU7,AX7,BA7,BD7,BG7,BJ7,BM7,BP7)/$C$7</f>
        <v>#DIV/0!</v>
      </c>
      <c r="BW7" s="345" t="e">
        <f>100*STDEV(AP7,AS7,AV7,AY7,BB7,BE7,BH7,BK7,BN7,BQ7)/$C$7</f>
        <v>#DIV/0!</v>
      </c>
      <c r="BX7" s="164" t="e">
        <f t="shared" si="7"/>
        <v>#DIV/0!</v>
      </c>
      <c r="BY7" s="165" t="e">
        <f t="shared" si="0"/>
        <v>#DIV/0!</v>
      </c>
      <c r="BZ7" s="166" t="e">
        <f t="shared" si="1"/>
        <v>#DIV/0!</v>
      </c>
      <c r="CA7" s="164" t="e">
        <f t="shared" si="2"/>
        <v>#DIV/0!</v>
      </c>
      <c r="CB7" s="165" t="e">
        <f t="shared" si="3"/>
        <v>#DIV/0!</v>
      </c>
      <c r="CC7" s="166" t="e">
        <f t="shared" si="4"/>
        <v>#DIV/0!</v>
      </c>
    </row>
    <row r="8" spans="2:81" ht="15" customHeight="1" thickBot="1">
      <c r="B8" s="50">
        <v>4</v>
      </c>
      <c r="C8" s="48">
        <v>3.74</v>
      </c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256"/>
      <c r="AH8" s="128" t="e">
        <f t="shared" si="5"/>
        <v>#DIV/0!</v>
      </c>
      <c r="AI8" s="54" t="e">
        <f t="shared" si="5"/>
        <v>#DIV/0!</v>
      </c>
      <c r="AJ8" s="55" t="e">
        <f t="shared" si="5"/>
        <v>#DIV/0!</v>
      </c>
      <c r="AK8" s="344" t="e">
        <f>100*STDEV(D8,G8,J8,M8,P8,S8,V8,Y8,AB8,AE8)/$C$8</f>
        <v>#DIV/0!</v>
      </c>
      <c r="AL8" s="54" t="e">
        <f>100*STDEV(E8,H8,K8,N8,Q8,T8,W8,Z8,AC8,AF8)/$C$8</f>
        <v>#DIV/0!</v>
      </c>
      <c r="AM8" s="55" t="e">
        <f>100*STDEV(F8,I8,L8,O8,R8,U8,X8,AA8,AD8,AG8)/$C$8</f>
        <v>#DIV/0!</v>
      </c>
      <c r="AN8" s="44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256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256"/>
      <c r="BR8" s="127" t="e">
        <f t="shared" si="6"/>
        <v>#DIV/0!</v>
      </c>
      <c r="BS8" s="392" t="e">
        <f t="shared" si="6"/>
        <v>#DIV/0!</v>
      </c>
      <c r="BT8" s="345" t="e">
        <f t="shared" si="6"/>
        <v>#DIV/0!</v>
      </c>
      <c r="BU8" s="392" t="e">
        <f>100*STDEV(AN8,AQ8,AT8,AW8,AZ8,BC8,BF8,BI8,BL8,BO8)/$C$8</f>
        <v>#DIV/0!</v>
      </c>
      <c r="BV8" s="52" t="e">
        <f>100*STDEV(AO8,AR8,AU8,AX8,BA8,BD8,BG8,BJ8,BM8,BP8)/$C$8</f>
        <v>#DIV/0!</v>
      </c>
      <c r="BW8" s="345" t="e">
        <f>100*STDEV(AP8,AS8,AV8,AY8,BB8,BE8,BH8,BK8,BN8,BQ8)/$C$8</f>
        <v>#DIV/0!</v>
      </c>
      <c r="BX8" s="164" t="e">
        <f t="shared" si="7"/>
        <v>#DIV/0!</v>
      </c>
      <c r="BY8" s="165" t="e">
        <f t="shared" si="0"/>
        <v>#DIV/0!</v>
      </c>
      <c r="BZ8" s="166" t="e">
        <f t="shared" si="1"/>
        <v>#DIV/0!</v>
      </c>
      <c r="CA8" s="164" t="e">
        <f t="shared" si="2"/>
        <v>#DIV/0!</v>
      </c>
      <c r="CB8" s="165" t="e">
        <f t="shared" si="3"/>
        <v>#DIV/0!</v>
      </c>
      <c r="CC8" s="166" t="e">
        <f t="shared" si="4"/>
        <v>#DIV/0!</v>
      </c>
    </row>
    <row r="9" spans="2:81" ht="15" customHeight="1" thickBot="1">
      <c r="B9" s="50">
        <v>5</v>
      </c>
      <c r="C9" s="48">
        <v>9.9139999999999997</v>
      </c>
      <c r="D9" s="4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256"/>
      <c r="AH9" s="128" t="e">
        <f t="shared" si="5"/>
        <v>#DIV/0!</v>
      </c>
      <c r="AI9" s="54" t="e">
        <f t="shared" si="5"/>
        <v>#DIV/0!</v>
      </c>
      <c r="AJ9" s="55" t="e">
        <f t="shared" si="5"/>
        <v>#DIV/0!</v>
      </c>
      <c r="AK9" s="344" t="e">
        <f>100*STDEV(D9,G9,J9,M9,P9,S9,V9,Y9,AB9,AE9)/$C$9</f>
        <v>#DIV/0!</v>
      </c>
      <c r="AL9" s="54" t="e">
        <f>100*STDEV(E9,H9,K9,N9,Q9,T9,W9,Z9,AC9,AF9)/$C$9</f>
        <v>#DIV/0!</v>
      </c>
      <c r="AM9" s="55" t="e">
        <f>100*STDEV(F9,I9,L9,O9,R9,U9,X9,AA9,AD9,AG9)/$C$9</f>
        <v>#DIV/0!</v>
      </c>
      <c r="AN9" s="44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256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256"/>
      <c r="BR9" s="127" t="e">
        <f t="shared" si="6"/>
        <v>#DIV/0!</v>
      </c>
      <c r="BS9" s="392" t="e">
        <f t="shared" si="6"/>
        <v>#DIV/0!</v>
      </c>
      <c r="BT9" s="345" t="e">
        <f t="shared" si="6"/>
        <v>#DIV/0!</v>
      </c>
      <c r="BU9" s="392" t="e">
        <f>100*STDEV(AN9,AQ9,AT9,AW9,AZ9,BC9,BF9,BI9,BL9,BO9)/$C$9</f>
        <v>#DIV/0!</v>
      </c>
      <c r="BV9" s="52" t="e">
        <f>100*STDEV(AO9,AR9,AU9,AX9,BA9,BD9,BG9,BJ9,BM9,BP9)/$C$9</f>
        <v>#DIV/0!</v>
      </c>
      <c r="BW9" s="345" t="e">
        <f>100*STDEV(AP9,AS9,AV9,AY9,BB9,BE9,BH9,BK9,BN9,BQ9)/$C$9</f>
        <v>#DIV/0!</v>
      </c>
      <c r="BX9" s="164" t="e">
        <f t="shared" si="7"/>
        <v>#DIV/0!</v>
      </c>
      <c r="BY9" s="165" t="e">
        <f t="shared" si="0"/>
        <v>#DIV/0!</v>
      </c>
      <c r="BZ9" s="166" t="e">
        <f t="shared" si="1"/>
        <v>#DIV/0!</v>
      </c>
      <c r="CA9" s="164" t="e">
        <f t="shared" si="2"/>
        <v>#DIV/0!</v>
      </c>
      <c r="CB9" s="165" t="e">
        <f t="shared" si="3"/>
        <v>#DIV/0!</v>
      </c>
      <c r="CC9" s="166" t="e">
        <f t="shared" si="4"/>
        <v>#DIV/0!</v>
      </c>
    </row>
    <row r="10" spans="2:81" ht="15" customHeight="1" thickBot="1">
      <c r="B10" s="50">
        <v>6</v>
      </c>
      <c r="C10" s="48">
        <v>2.6080000000000001</v>
      </c>
      <c r="D10" s="4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256"/>
      <c r="AH10" s="128" t="e">
        <f t="shared" si="5"/>
        <v>#DIV/0!</v>
      </c>
      <c r="AI10" s="54" t="e">
        <f t="shared" si="5"/>
        <v>#DIV/0!</v>
      </c>
      <c r="AJ10" s="55" t="e">
        <f t="shared" si="5"/>
        <v>#DIV/0!</v>
      </c>
      <c r="AK10" s="344" t="e">
        <f>100*STDEV(D10,G10,J10,M10,P10,S10,V10,Y10,AB10,AE10)/$C$10</f>
        <v>#DIV/0!</v>
      </c>
      <c r="AL10" s="54" t="e">
        <f>100*STDEV(E10,H10,K10,N10,Q10,T10,W10,Z10,AC10,AF10)/$C$10</f>
        <v>#DIV/0!</v>
      </c>
      <c r="AM10" s="55" t="e">
        <f>100*STDEV(F10,I10,L10,O10,R10,U10,X10,AA10,AD10,AG10)/$C$10</f>
        <v>#DIV/0!</v>
      </c>
      <c r="AN10" s="44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256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256"/>
      <c r="BR10" s="127" t="e">
        <f t="shared" si="6"/>
        <v>#DIV/0!</v>
      </c>
      <c r="BS10" s="392" t="e">
        <f t="shared" si="6"/>
        <v>#DIV/0!</v>
      </c>
      <c r="BT10" s="345" t="e">
        <f t="shared" si="6"/>
        <v>#DIV/0!</v>
      </c>
      <c r="BU10" s="392" t="e">
        <f>100*STDEV(AN10,AQ10,AT10,AW10,AZ10,BC10,BF10,BI10,BL10,BO10)/$C$10</f>
        <v>#DIV/0!</v>
      </c>
      <c r="BV10" s="52" t="e">
        <f>100*STDEV(AO10,AR10,AU10,AX10,BA10,BD10,BG10,BJ10,BM10,BP10)/$C$10</f>
        <v>#DIV/0!</v>
      </c>
      <c r="BW10" s="345" t="e">
        <f>100*STDEV(AP10,AS10,AV10,AY10,BB10,BE10,BH10,BK10,BN10,BQ10)/$C$10</f>
        <v>#DIV/0!</v>
      </c>
      <c r="BX10" s="164" t="e">
        <f t="shared" si="7"/>
        <v>#DIV/0!</v>
      </c>
      <c r="BY10" s="165" t="e">
        <f t="shared" si="0"/>
        <v>#DIV/0!</v>
      </c>
      <c r="BZ10" s="166" t="e">
        <f t="shared" si="1"/>
        <v>#DIV/0!</v>
      </c>
      <c r="CA10" s="164" t="e">
        <f t="shared" si="2"/>
        <v>#DIV/0!</v>
      </c>
      <c r="CB10" s="165" t="e">
        <f t="shared" si="3"/>
        <v>#DIV/0!</v>
      </c>
      <c r="CC10" s="166" t="e">
        <f t="shared" si="4"/>
        <v>#DIV/0!</v>
      </c>
    </row>
    <row r="11" spans="2:81" ht="15" customHeight="1" thickBot="1">
      <c r="B11" s="50">
        <v>7</v>
      </c>
      <c r="C11" s="48">
        <v>6.6959999999999997</v>
      </c>
      <c r="D11" s="4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256"/>
      <c r="AH11" s="128" t="e">
        <f t="shared" si="5"/>
        <v>#DIV/0!</v>
      </c>
      <c r="AI11" s="54" t="e">
        <f t="shared" si="5"/>
        <v>#DIV/0!</v>
      </c>
      <c r="AJ11" s="55" t="e">
        <f t="shared" si="5"/>
        <v>#DIV/0!</v>
      </c>
      <c r="AK11" s="344" t="e">
        <f>100*STDEV(D11,G11,J11,M11,P11,S11,V11,Y11,AB11,AE11)/$C$11</f>
        <v>#DIV/0!</v>
      </c>
      <c r="AL11" s="54" t="e">
        <f>100*STDEV(E11,H11,K11,N11,Q11,T11,W11,Z11,AC11,AF11)/$C$11</f>
        <v>#DIV/0!</v>
      </c>
      <c r="AM11" s="55" t="e">
        <f>100*STDEV(F11,I11,L11,O11,R11,U11,X11,AA11,AD11,AG11)/$C$11</f>
        <v>#DIV/0!</v>
      </c>
      <c r="AN11" s="44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256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256"/>
      <c r="BR11" s="127" t="e">
        <f t="shared" si="6"/>
        <v>#DIV/0!</v>
      </c>
      <c r="BS11" s="392" t="e">
        <f t="shared" si="6"/>
        <v>#DIV/0!</v>
      </c>
      <c r="BT11" s="345" t="e">
        <f t="shared" si="6"/>
        <v>#DIV/0!</v>
      </c>
      <c r="BU11" s="392" t="e">
        <f>100*STDEV(AN11,AQ11,AT11,AW11,AZ11,BC11,BF11,BI11,BL11,BO11)/$C$11</f>
        <v>#DIV/0!</v>
      </c>
      <c r="BV11" s="52" t="e">
        <f>100*STDEV(AO11,AR11,AU11,AX11,BA11,BD11,BG11,BJ11,BM11,BP11)/$C$11</f>
        <v>#DIV/0!</v>
      </c>
      <c r="BW11" s="345" t="e">
        <f>100*STDEV(AP11,AS11,AV11,AY11,BB11,BE11,BH11,BK11,BN11,BQ11)/$C$11</f>
        <v>#DIV/0!</v>
      </c>
      <c r="BX11" s="164" t="e">
        <f t="shared" si="7"/>
        <v>#DIV/0!</v>
      </c>
      <c r="BY11" s="165" t="e">
        <f t="shared" si="0"/>
        <v>#DIV/0!</v>
      </c>
      <c r="BZ11" s="166" t="e">
        <f t="shared" si="1"/>
        <v>#DIV/0!</v>
      </c>
      <c r="CA11" s="164" t="e">
        <f t="shared" si="2"/>
        <v>#DIV/0!</v>
      </c>
      <c r="CB11" s="165" t="e">
        <f t="shared" si="3"/>
        <v>#DIV/0!</v>
      </c>
      <c r="CC11" s="166" t="e">
        <f t="shared" si="4"/>
        <v>#DIV/0!</v>
      </c>
    </row>
    <row r="12" spans="2:81" ht="15" customHeight="1" thickBot="1">
      <c r="B12" s="50">
        <v>8</v>
      </c>
      <c r="C12" s="48">
        <v>2</v>
      </c>
      <c r="D12" s="4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256"/>
      <c r="AH12" s="128" t="e">
        <f t="shared" si="5"/>
        <v>#DIV/0!</v>
      </c>
      <c r="AI12" s="54" t="e">
        <f t="shared" si="5"/>
        <v>#DIV/0!</v>
      </c>
      <c r="AJ12" s="55" t="e">
        <f t="shared" si="5"/>
        <v>#DIV/0!</v>
      </c>
      <c r="AK12" s="344" t="e">
        <f>100*STDEV(D12,G12,J12,M12,P12,S12,V12,Y12,AB12,AE12)/$C$12</f>
        <v>#DIV/0!</v>
      </c>
      <c r="AL12" s="54" t="e">
        <f>100*STDEV(E12,H12,K12,N12,Q12,T12,W12,Z12,AC12,AF12)/$C$12</f>
        <v>#DIV/0!</v>
      </c>
      <c r="AM12" s="55" t="e">
        <f>100*STDEV(F12,I12,L12,O12,R12,U12,X12,AA12,AD12,AG12)/$C$12</f>
        <v>#DIV/0!</v>
      </c>
      <c r="AN12" s="44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256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256"/>
      <c r="BR12" s="127" t="e">
        <f t="shared" si="6"/>
        <v>#DIV/0!</v>
      </c>
      <c r="BS12" s="392" t="e">
        <f t="shared" si="6"/>
        <v>#DIV/0!</v>
      </c>
      <c r="BT12" s="345" t="e">
        <f t="shared" si="6"/>
        <v>#DIV/0!</v>
      </c>
      <c r="BU12" s="392" t="e">
        <f>100*STDEV(AN12,AQ12,AT12,AW12,AZ12,BC12,BF12,BI12,BL12,BO12)/$C$12</f>
        <v>#DIV/0!</v>
      </c>
      <c r="BV12" s="52" t="e">
        <f>100*STDEV(AO12,AR12,AU12,AX12,BA12,BD12,BG12,BJ12,BM12,BP12)/$C$12</f>
        <v>#DIV/0!</v>
      </c>
      <c r="BW12" s="345" t="e">
        <f>100*STDEV(AP12,AS12,AV12,AY12,BB12,BE12,BH12,BK12,BN12,BQ12)/$C$12</f>
        <v>#DIV/0!</v>
      </c>
      <c r="BX12" s="164" t="e">
        <f t="shared" si="7"/>
        <v>#DIV/0!</v>
      </c>
      <c r="BY12" s="165" t="e">
        <f t="shared" si="0"/>
        <v>#DIV/0!</v>
      </c>
      <c r="BZ12" s="166" t="e">
        <f t="shared" si="1"/>
        <v>#DIV/0!</v>
      </c>
      <c r="CA12" s="164" t="e">
        <f t="shared" si="2"/>
        <v>#DIV/0!</v>
      </c>
      <c r="CB12" s="165" t="e">
        <f t="shared" si="3"/>
        <v>#DIV/0!</v>
      </c>
      <c r="CC12" s="166" t="e">
        <f t="shared" si="4"/>
        <v>#DIV/0!</v>
      </c>
    </row>
    <row r="13" spans="2:81" ht="15" customHeight="1" thickBot="1">
      <c r="B13" s="50">
        <v>9</v>
      </c>
      <c r="C13" s="48">
        <v>3.4780000000000002</v>
      </c>
      <c r="D13" s="4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256"/>
      <c r="AH13" s="128" t="e">
        <f t="shared" si="5"/>
        <v>#DIV/0!</v>
      </c>
      <c r="AI13" s="54" t="e">
        <f t="shared" si="5"/>
        <v>#DIV/0!</v>
      </c>
      <c r="AJ13" s="55" t="e">
        <f t="shared" si="5"/>
        <v>#DIV/0!</v>
      </c>
      <c r="AK13" s="344" t="e">
        <f>100*STDEV(D13,G13,J13,M13,P13,S13,V13,Y13,AB13,AE13)/$C$13</f>
        <v>#DIV/0!</v>
      </c>
      <c r="AL13" s="54" t="e">
        <f>100*STDEV(E13,H13,K13,N13,Q13,T13,W13,Z13,AC13,AF13)/$C$13</f>
        <v>#DIV/0!</v>
      </c>
      <c r="AM13" s="55" t="e">
        <f>100*STDEV(F13,I13,L13,O13,R13,U13,X13,AA13,AD13,AG13)/$C$13</f>
        <v>#DIV/0!</v>
      </c>
      <c r="AN13" s="44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256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256"/>
      <c r="BR13" s="127" t="e">
        <f t="shared" si="6"/>
        <v>#DIV/0!</v>
      </c>
      <c r="BS13" s="392" t="e">
        <f t="shared" si="6"/>
        <v>#DIV/0!</v>
      </c>
      <c r="BT13" s="345" t="e">
        <f t="shared" si="6"/>
        <v>#DIV/0!</v>
      </c>
      <c r="BU13" s="392" t="e">
        <f>100*STDEV(AN13,AQ13,AT13,AW13,AZ13,BC13,BF13,BI13,BL13,BO13)/$C$13</f>
        <v>#DIV/0!</v>
      </c>
      <c r="BV13" s="52" t="e">
        <f>100*STDEV(AO13,AR13,AU13,AX13,BA13,BD13,BG13,BJ13,BM13,BP13)/$C$13</f>
        <v>#DIV/0!</v>
      </c>
      <c r="BW13" s="345" t="e">
        <f>100*STDEV(AP13,AS13,AV13,AY13,BB13,BE13,BH13,BK13,BN13,BQ13)/$C$13</f>
        <v>#DIV/0!</v>
      </c>
      <c r="BX13" s="164" t="e">
        <f t="shared" si="7"/>
        <v>#DIV/0!</v>
      </c>
      <c r="BY13" s="165" t="e">
        <f t="shared" si="0"/>
        <v>#DIV/0!</v>
      </c>
      <c r="BZ13" s="166" t="e">
        <f t="shared" si="1"/>
        <v>#DIV/0!</v>
      </c>
      <c r="CA13" s="164" t="e">
        <f t="shared" si="2"/>
        <v>#DIV/0!</v>
      </c>
      <c r="CB13" s="165" t="e">
        <f t="shared" si="3"/>
        <v>#DIV/0!</v>
      </c>
      <c r="CC13" s="166" t="e">
        <f t="shared" si="4"/>
        <v>#DIV/0!</v>
      </c>
    </row>
    <row r="14" spans="2:81" ht="15" customHeight="1" thickBot="1">
      <c r="B14" s="50">
        <v>10</v>
      </c>
      <c r="C14" s="48">
        <v>1.6</v>
      </c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256"/>
      <c r="AH14" s="128" t="e">
        <f t="shared" si="5"/>
        <v>#DIV/0!</v>
      </c>
      <c r="AI14" s="54" t="e">
        <f t="shared" si="5"/>
        <v>#DIV/0!</v>
      </c>
      <c r="AJ14" s="55" t="e">
        <f t="shared" si="5"/>
        <v>#DIV/0!</v>
      </c>
      <c r="AK14" s="344" t="e">
        <f>100*STDEV(D14,G14,J14,M14,P14,S14,V14,Y14,AB14,AE14)/$C$14</f>
        <v>#DIV/0!</v>
      </c>
      <c r="AL14" s="54" t="e">
        <f>100*STDEV(E14,H14,K14,N14,Q14,T14,W14,Z14,AC14,AF14)/$C$14</f>
        <v>#DIV/0!</v>
      </c>
      <c r="AM14" s="55" t="e">
        <f>100*STDEV(F14,I14,L14,O14,R14,U14,X14,AA14,AD14,AG14)/$C$14</f>
        <v>#DIV/0!</v>
      </c>
      <c r="AN14" s="44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256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256"/>
      <c r="BR14" s="127" t="e">
        <f t="shared" si="6"/>
        <v>#DIV/0!</v>
      </c>
      <c r="BS14" s="392" t="e">
        <f t="shared" si="6"/>
        <v>#DIV/0!</v>
      </c>
      <c r="BT14" s="345" t="e">
        <f t="shared" si="6"/>
        <v>#DIV/0!</v>
      </c>
      <c r="BU14" s="392" t="e">
        <f>100*STDEV(AN14,AQ14,AT14,AW14,AZ14,BC14,BF14,BI14,BL14,BO14)/$C$14</f>
        <v>#DIV/0!</v>
      </c>
      <c r="BV14" s="52" t="e">
        <f>100*STDEV(AO14,AR14,AU14,AX14,BA14,BD14,BG14,BJ14,BM14,BP14)/$C$14</f>
        <v>#DIV/0!</v>
      </c>
      <c r="BW14" s="345" t="e">
        <f>100*STDEV(AP14,AS14,AV14,AY14,BB14,BE14,BH14,BK14,BN14,BQ14)/$C$14</f>
        <v>#DIV/0!</v>
      </c>
      <c r="BX14" s="164" t="e">
        <f t="shared" si="7"/>
        <v>#DIV/0!</v>
      </c>
      <c r="BY14" s="165" t="e">
        <f t="shared" si="0"/>
        <v>#DIV/0!</v>
      </c>
      <c r="BZ14" s="166" t="e">
        <f t="shared" si="1"/>
        <v>#DIV/0!</v>
      </c>
      <c r="CA14" s="164" t="e">
        <f t="shared" si="2"/>
        <v>#DIV/0!</v>
      </c>
      <c r="CB14" s="165" t="e">
        <f t="shared" si="3"/>
        <v>#DIV/0!</v>
      </c>
      <c r="CC14" s="166" t="e">
        <f t="shared" si="4"/>
        <v>#DIV/0!</v>
      </c>
    </row>
    <row r="15" spans="2:81" ht="15" customHeight="1" thickBot="1">
      <c r="B15" s="50">
        <v>11</v>
      </c>
      <c r="C15" s="48">
        <v>2.87</v>
      </c>
      <c r="D15" s="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256"/>
      <c r="AH15" s="128" t="e">
        <f t="shared" si="5"/>
        <v>#DIV/0!</v>
      </c>
      <c r="AI15" s="54" t="e">
        <f t="shared" si="5"/>
        <v>#DIV/0!</v>
      </c>
      <c r="AJ15" s="55" t="e">
        <f t="shared" si="5"/>
        <v>#DIV/0!</v>
      </c>
      <c r="AK15" s="344" t="e">
        <f>100*STDEV(D15,G15,J15,M15,P15,S15,V15,Y15,AB15,AE15)/$C$15</f>
        <v>#DIV/0!</v>
      </c>
      <c r="AL15" s="54" t="e">
        <f>100*STDEV(E15,H15,K15,N15,Q15,T15,W15,Z15,AC15,AF15)/$C$15</f>
        <v>#DIV/0!</v>
      </c>
      <c r="AM15" s="55" t="e">
        <f>100*STDEV(F15,I15,L15,O15,R15,U15,X15,AA15,AD15,AG15)/$C$15</f>
        <v>#DIV/0!</v>
      </c>
      <c r="AN15" s="44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256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256"/>
      <c r="BR15" s="127" t="e">
        <f t="shared" si="6"/>
        <v>#DIV/0!</v>
      </c>
      <c r="BS15" s="392" t="e">
        <f t="shared" si="6"/>
        <v>#DIV/0!</v>
      </c>
      <c r="BT15" s="345" t="e">
        <f t="shared" si="6"/>
        <v>#DIV/0!</v>
      </c>
      <c r="BU15" s="392" t="e">
        <f>100*STDEV(AN15,AQ15,AT15,AW15,AZ15,BC15,BF15,BI15,BL15,BO15)/$C$15</f>
        <v>#DIV/0!</v>
      </c>
      <c r="BV15" s="52" t="e">
        <f>100*STDEV(AO15,AR15,AU15,AX15,BA15,BD15,BG15,BJ15,BM15,BP15)/$C$15</f>
        <v>#DIV/0!</v>
      </c>
      <c r="BW15" s="345" t="e">
        <f>100*STDEV(AP15,AS15,AV15,AY15,BB15,BE15,BH15,BK15,BN15,BQ15)/$C$15</f>
        <v>#DIV/0!</v>
      </c>
      <c r="BX15" s="164" t="e">
        <f t="shared" si="7"/>
        <v>#DIV/0!</v>
      </c>
      <c r="BY15" s="165" t="e">
        <f t="shared" si="0"/>
        <v>#DIV/0!</v>
      </c>
      <c r="BZ15" s="166" t="e">
        <f t="shared" si="1"/>
        <v>#DIV/0!</v>
      </c>
      <c r="CA15" s="164" t="e">
        <f t="shared" si="2"/>
        <v>#DIV/0!</v>
      </c>
      <c r="CB15" s="165" t="e">
        <f t="shared" si="3"/>
        <v>#DIV/0!</v>
      </c>
      <c r="CC15" s="166" t="e">
        <f t="shared" si="4"/>
        <v>#DIV/0!</v>
      </c>
    </row>
    <row r="16" spans="2:81" ht="15" customHeight="1" thickBot="1">
      <c r="B16" s="50">
        <v>12</v>
      </c>
      <c r="C16" s="48">
        <v>1.3340000000000001</v>
      </c>
      <c r="D16" s="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256"/>
      <c r="AH16" s="128" t="e">
        <f t="shared" si="5"/>
        <v>#DIV/0!</v>
      </c>
      <c r="AI16" s="54" t="e">
        <f t="shared" si="5"/>
        <v>#DIV/0!</v>
      </c>
      <c r="AJ16" s="55" t="e">
        <f t="shared" si="5"/>
        <v>#DIV/0!</v>
      </c>
      <c r="AK16" s="344" t="e">
        <f>100*STDEV(D16,G16,J16,M16,P16,S16,V16,Y16,AB16,AE16)/$C$16</f>
        <v>#DIV/0!</v>
      </c>
      <c r="AL16" s="54" t="e">
        <f>100*STDEV(E16,H16,K16,N16,Q16,T16,W16,Z16,AC16,AF16)/$C$16</f>
        <v>#DIV/0!</v>
      </c>
      <c r="AM16" s="55" t="e">
        <f>100*STDEV(F16,I16,L16,O16,R16,U16,X16,AA16,AD16,AG16)/$C$16</f>
        <v>#DIV/0!</v>
      </c>
      <c r="AN16" s="44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256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256"/>
      <c r="BR16" s="127" t="e">
        <f t="shared" si="6"/>
        <v>#DIV/0!</v>
      </c>
      <c r="BS16" s="392" t="e">
        <f t="shared" si="6"/>
        <v>#DIV/0!</v>
      </c>
      <c r="BT16" s="345" t="e">
        <f t="shared" si="6"/>
        <v>#DIV/0!</v>
      </c>
      <c r="BU16" s="392" t="e">
        <f>100*STDEV(AN16,AQ16,AT16,AW16,AZ16,BC16,BF16,BI16,BL16,BO16)/$C$16</f>
        <v>#DIV/0!</v>
      </c>
      <c r="BV16" s="52" t="e">
        <f>100*STDEV(AO16,AR16,AU16,AX16,BA16,BD16,BG16,BJ16,BM16,BP16)/$C$16</f>
        <v>#DIV/0!</v>
      </c>
      <c r="BW16" s="345" t="e">
        <f>100*STDEV(AP16,AS16,AV16,AY16,BB16,BE16,BH16,BK16,BN16,BQ16)/$C$16</f>
        <v>#DIV/0!</v>
      </c>
      <c r="BX16" s="164" t="e">
        <f t="shared" si="7"/>
        <v>#DIV/0!</v>
      </c>
      <c r="BY16" s="165" t="e">
        <f t="shared" si="0"/>
        <v>#DIV/0!</v>
      </c>
      <c r="BZ16" s="166" t="e">
        <f t="shared" si="1"/>
        <v>#DIV/0!</v>
      </c>
      <c r="CA16" s="164" t="e">
        <f t="shared" si="2"/>
        <v>#DIV/0!</v>
      </c>
      <c r="CB16" s="165" t="e">
        <f t="shared" si="3"/>
        <v>#DIV/0!</v>
      </c>
      <c r="CC16" s="166" t="e">
        <f t="shared" si="4"/>
        <v>#DIV/0!</v>
      </c>
    </row>
    <row r="17" spans="2:81" ht="15" customHeight="1" thickBot="1">
      <c r="B17" s="50">
        <v>13</v>
      </c>
      <c r="C17" s="48">
        <v>1.8260000000000001</v>
      </c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256"/>
      <c r="AH17" s="128" t="e">
        <f t="shared" si="5"/>
        <v>#DIV/0!</v>
      </c>
      <c r="AI17" s="54" t="e">
        <f t="shared" si="5"/>
        <v>#DIV/0!</v>
      </c>
      <c r="AJ17" s="55" t="e">
        <f t="shared" si="5"/>
        <v>#DIV/0!</v>
      </c>
      <c r="AK17" s="344" t="e">
        <f>100*STDEV(D17,G17,J17,M17,P17,S17,V17,Y17,AB17,AE17)/$C$17</f>
        <v>#DIV/0!</v>
      </c>
      <c r="AL17" s="54" t="e">
        <f>100*STDEV(E17,H17,K17,N17,Q17,T17,W17,Z17,AC17,AF17)/$C$17</f>
        <v>#DIV/0!</v>
      </c>
      <c r="AM17" s="55" t="e">
        <f>100*STDEV(F17,I17,L17,O17,R17,U17,X17,AA17,AD17,AG17)/$C$17</f>
        <v>#DIV/0!</v>
      </c>
      <c r="AN17" s="44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256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256"/>
      <c r="BR17" s="127" t="e">
        <f t="shared" si="6"/>
        <v>#DIV/0!</v>
      </c>
      <c r="BS17" s="392" t="e">
        <f t="shared" si="6"/>
        <v>#DIV/0!</v>
      </c>
      <c r="BT17" s="345" t="e">
        <f t="shared" si="6"/>
        <v>#DIV/0!</v>
      </c>
      <c r="BU17" s="392" t="e">
        <f>100*STDEV(AN17,AQ17,AT17,AW17,AZ17,BC17,BF17,BI17,BL17,BO17)/$C$17</f>
        <v>#DIV/0!</v>
      </c>
      <c r="BV17" s="52" t="e">
        <f>100*STDEV(AO17,AR17,AU17,AX17,BA17,BD17,BG17,BJ17,BM17,BP17)/$C$17</f>
        <v>#DIV/0!</v>
      </c>
      <c r="BW17" s="345" t="e">
        <f>100*STDEV(AP17,AS17,AV17,AY17,BB17,BE17,BH17,BK17,BN17,BQ17)/$C$17</f>
        <v>#DIV/0!</v>
      </c>
      <c r="BX17" s="164" t="e">
        <f t="shared" si="7"/>
        <v>#DIV/0!</v>
      </c>
      <c r="BY17" s="165" t="e">
        <f t="shared" si="0"/>
        <v>#DIV/0!</v>
      </c>
      <c r="BZ17" s="166" t="e">
        <f t="shared" si="1"/>
        <v>#DIV/0!</v>
      </c>
      <c r="CA17" s="164" t="e">
        <f t="shared" si="2"/>
        <v>#DIV/0!</v>
      </c>
      <c r="CB17" s="165" t="e">
        <f t="shared" si="3"/>
        <v>#DIV/0!</v>
      </c>
      <c r="CC17" s="166" t="e">
        <f t="shared" si="4"/>
        <v>#DIV/0!</v>
      </c>
    </row>
    <row r="18" spans="2:81" ht="15" customHeight="1" thickBot="1">
      <c r="B18" s="50">
        <v>14</v>
      </c>
      <c r="C18" s="48">
        <v>1.1419999999999999</v>
      </c>
      <c r="D18" s="4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256"/>
      <c r="AH18" s="128" t="e">
        <f t="shared" si="5"/>
        <v>#DIV/0!</v>
      </c>
      <c r="AI18" s="54" t="e">
        <f t="shared" si="5"/>
        <v>#DIV/0!</v>
      </c>
      <c r="AJ18" s="55" t="e">
        <f t="shared" si="5"/>
        <v>#DIV/0!</v>
      </c>
      <c r="AK18" s="344" t="e">
        <f>100*STDEV(D18,G18,J18,M18,P18,S18,V18,Y18,AB18,AE18)/$C$18</f>
        <v>#DIV/0!</v>
      </c>
      <c r="AL18" s="54" t="e">
        <f>100*STDEV(E18,H18,K18,N18,Q18,T18,W18,Z18,AC18,AF18)/$C$18</f>
        <v>#DIV/0!</v>
      </c>
      <c r="AM18" s="55" t="e">
        <f>100*STDEV(F18,I18,L18,O18,R18,U18,X18,AA18,AD18,AG18)/$C$18</f>
        <v>#DIV/0!</v>
      </c>
      <c r="AN18" s="44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256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256"/>
      <c r="BR18" s="127" t="e">
        <f t="shared" si="6"/>
        <v>#DIV/0!</v>
      </c>
      <c r="BS18" s="392" t="e">
        <f t="shared" si="6"/>
        <v>#DIV/0!</v>
      </c>
      <c r="BT18" s="345" t="e">
        <f t="shared" si="6"/>
        <v>#DIV/0!</v>
      </c>
      <c r="BU18" s="392" t="e">
        <f>100*STDEV(AN18,AQ18,AT18,AW18,AZ18,BC18,BF18,BI18,BL18,BO18)/$C$18</f>
        <v>#DIV/0!</v>
      </c>
      <c r="BV18" s="52" t="e">
        <f>100*STDEV(AO18,AR18,AU18,AX18,BA18,BD18,BG18,BJ18,BM18,BP18)/$C$18</f>
        <v>#DIV/0!</v>
      </c>
      <c r="BW18" s="345" t="e">
        <f>100*STDEV(AP18,AS18,AV18,AY18,BB18,BE18,BH18,BK18,BN18,BQ18)/$C$18</f>
        <v>#DIV/0!</v>
      </c>
      <c r="BX18" s="164" t="e">
        <f t="shared" si="7"/>
        <v>#DIV/0!</v>
      </c>
      <c r="BY18" s="165" t="e">
        <f t="shared" si="0"/>
        <v>#DIV/0!</v>
      </c>
      <c r="BZ18" s="166" t="e">
        <f t="shared" si="1"/>
        <v>#DIV/0!</v>
      </c>
      <c r="CA18" s="164" t="e">
        <f t="shared" si="2"/>
        <v>#DIV/0!</v>
      </c>
      <c r="CB18" s="165" t="e">
        <f t="shared" si="3"/>
        <v>#DIV/0!</v>
      </c>
      <c r="CC18" s="166" t="e">
        <f t="shared" si="4"/>
        <v>#DIV/0!</v>
      </c>
    </row>
    <row r="19" spans="2:81" ht="15" customHeight="1" thickBot="1">
      <c r="B19" s="50">
        <v>15</v>
      </c>
      <c r="C19" s="48">
        <v>1.304</v>
      </c>
      <c r="D19" s="4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256"/>
      <c r="AH19" s="128" t="e">
        <f t="shared" si="5"/>
        <v>#DIV/0!</v>
      </c>
      <c r="AI19" s="54" t="e">
        <f t="shared" si="5"/>
        <v>#DIV/0!</v>
      </c>
      <c r="AJ19" s="55" t="e">
        <f t="shared" si="5"/>
        <v>#DIV/0!</v>
      </c>
      <c r="AK19" s="344" t="e">
        <f>100*STDEV(D19,G19,J19,M19,P19,S19,V19,Y19,AB19,AE19)/$C$19</f>
        <v>#DIV/0!</v>
      </c>
      <c r="AL19" s="54" t="e">
        <f>100*STDEV(E19,H19,K19,N19,Q19,T19,W19,Z19,AC19,AF19)/$C$19</f>
        <v>#DIV/0!</v>
      </c>
      <c r="AM19" s="55" t="e">
        <f>100*STDEV(F19,I19,L19,O19,R19,U19,X19,AA19,AD19,AG19)/$C$19</f>
        <v>#DIV/0!</v>
      </c>
      <c r="AN19" s="44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256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256"/>
      <c r="BR19" s="127" t="e">
        <f t="shared" si="6"/>
        <v>#DIV/0!</v>
      </c>
      <c r="BS19" s="392" t="e">
        <f t="shared" si="6"/>
        <v>#DIV/0!</v>
      </c>
      <c r="BT19" s="345" t="e">
        <f t="shared" si="6"/>
        <v>#DIV/0!</v>
      </c>
      <c r="BU19" s="392" t="e">
        <f>100*STDEV(AN19,AQ19,AT19,AW19,AZ19,BC19,BF19,BI19,BL19,BO19)/$C$19</f>
        <v>#DIV/0!</v>
      </c>
      <c r="BV19" s="52" t="e">
        <f>100*STDEV(AO19,AR19,AU19,AX19,BA19,BD19,BG19,BJ19,BM19,BP19)/$C$19</f>
        <v>#DIV/0!</v>
      </c>
      <c r="BW19" s="345" t="e">
        <f>100*STDEV(AP19,AS19,AV19,AY19,BB19,BE19,BH19,BK19,BN19,BQ19)/$C$19</f>
        <v>#DIV/0!</v>
      </c>
      <c r="BX19" s="164" t="e">
        <f t="shared" si="7"/>
        <v>#DIV/0!</v>
      </c>
      <c r="BY19" s="165" t="e">
        <f t="shared" si="0"/>
        <v>#DIV/0!</v>
      </c>
      <c r="BZ19" s="166" t="e">
        <f t="shared" si="1"/>
        <v>#DIV/0!</v>
      </c>
      <c r="CA19" s="164" t="e">
        <f t="shared" si="2"/>
        <v>#DIV/0!</v>
      </c>
      <c r="CB19" s="165" t="e">
        <f t="shared" si="3"/>
        <v>#DIV/0!</v>
      </c>
      <c r="CC19" s="166" t="e">
        <f t="shared" si="4"/>
        <v>#DIV/0!</v>
      </c>
    </row>
    <row r="20" spans="2:81" ht="15" customHeight="1" thickBot="1">
      <c r="B20" s="50">
        <v>16</v>
      </c>
      <c r="C20" s="48">
        <v>1</v>
      </c>
      <c r="D20" s="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256"/>
      <c r="AH20" s="128" t="e">
        <f t="shared" si="5"/>
        <v>#DIV/0!</v>
      </c>
      <c r="AI20" s="54" t="e">
        <f t="shared" si="5"/>
        <v>#DIV/0!</v>
      </c>
      <c r="AJ20" s="55" t="e">
        <f t="shared" si="5"/>
        <v>#DIV/0!</v>
      </c>
      <c r="AK20" s="344" t="e">
        <f>100*STDEV(D20,G20,J20,M20,P20,S20,V20,Y20,AB20,AE20)/$C$20</f>
        <v>#DIV/0!</v>
      </c>
      <c r="AL20" s="54" t="e">
        <f>100*STDEV(E20,H20,K20,N20,Q20,T20,W20,Z20,AC20,AF20)/$C$20</f>
        <v>#DIV/0!</v>
      </c>
      <c r="AM20" s="55" t="e">
        <f>100*STDEV(F20,I20,L20,O20,R20,U20,X20,AA20,AD20,AG20)/$C$20</f>
        <v>#DIV/0!</v>
      </c>
      <c r="AN20" s="44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256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256"/>
      <c r="BR20" s="127" t="e">
        <f t="shared" si="6"/>
        <v>#DIV/0!</v>
      </c>
      <c r="BS20" s="392" t="e">
        <f t="shared" si="6"/>
        <v>#DIV/0!</v>
      </c>
      <c r="BT20" s="345" t="e">
        <f t="shared" si="6"/>
        <v>#DIV/0!</v>
      </c>
      <c r="BU20" s="392" t="e">
        <f>100*STDEV(AN20,AQ20,AT20,AW20,AZ20,BC20,BF20,BI20,BL20,BO20)/$C$20</f>
        <v>#DIV/0!</v>
      </c>
      <c r="BV20" s="52" t="e">
        <f>100*STDEV(AO20,AR20,AU20,AX20,BA20,BD20,BG20,BJ20,BM20,BP20)/$C$20</f>
        <v>#DIV/0!</v>
      </c>
      <c r="BW20" s="345" t="e">
        <f>100*STDEV(AP20,AS20,AV20,AY20,BB20,BE20,BH20,BK20,BN20,BQ20)/$C$20</f>
        <v>#DIV/0!</v>
      </c>
      <c r="BX20" s="164" t="e">
        <f t="shared" si="7"/>
        <v>#DIV/0!</v>
      </c>
      <c r="BY20" s="165" t="e">
        <f t="shared" si="0"/>
        <v>#DIV/0!</v>
      </c>
      <c r="BZ20" s="166" t="e">
        <f t="shared" si="1"/>
        <v>#DIV/0!</v>
      </c>
      <c r="CA20" s="164" t="e">
        <f t="shared" si="2"/>
        <v>#DIV/0!</v>
      </c>
      <c r="CB20" s="165" t="e">
        <f t="shared" si="3"/>
        <v>#DIV/0!</v>
      </c>
      <c r="CC20" s="166" t="e">
        <f t="shared" si="4"/>
        <v>#DIV/0!</v>
      </c>
    </row>
    <row r="21" spans="2:81" ht="15" customHeight="1" thickBot="1">
      <c r="B21" s="50">
        <v>17</v>
      </c>
      <c r="C21" s="48">
        <v>1.1499999999999999</v>
      </c>
      <c r="D21" s="4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256"/>
      <c r="AH21" s="128" t="e">
        <f t="shared" si="5"/>
        <v>#DIV/0!</v>
      </c>
      <c r="AI21" s="54" t="e">
        <f t="shared" si="5"/>
        <v>#DIV/0!</v>
      </c>
      <c r="AJ21" s="55" t="e">
        <f t="shared" si="5"/>
        <v>#DIV/0!</v>
      </c>
      <c r="AK21" s="344" t="e">
        <f>100*STDEV(D21,G21,J21,M21,P21,S21,V21,Y21,AB21,AE21)/$C$21</f>
        <v>#DIV/0!</v>
      </c>
      <c r="AL21" s="54" t="e">
        <f>100*STDEV(E21,H21,K21,N21,Q21,T21,W21,Z21,AC21,AF21)/$C$21</f>
        <v>#DIV/0!</v>
      </c>
      <c r="AM21" s="55" t="e">
        <f>100*STDEV(F21,I21,L21,O21,R21,U21,X21,AA21,AD21,AG21)/$C$21</f>
        <v>#DIV/0!</v>
      </c>
      <c r="AN21" s="44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256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256"/>
      <c r="BR21" s="127" t="e">
        <f t="shared" si="6"/>
        <v>#DIV/0!</v>
      </c>
      <c r="BS21" s="392" t="e">
        <f t="shared" si="6"/>
        <v>#DIV/0!</v>
      </c>
      <c r="BT21" s="345" t="e">
        <f t="shared" si="6"/>
        <v>#DIV/0!</v>
      </c>
      <c r="BU21" s="392" t="e">
        <f>100*STDEV(AN21,AQ21,AT21,AW21,AZ21,BC21,BF21,BI21,BL21,BO21)/$C$21</f>
        <v>#DIV/0!</v>
      </c>
      <c r="BV21" s="52" t="e">
        <f>100*STDEV(AO21,AR21,AU21,AX21,BA21,BD21,BG21,BJ21,BM21,BP21)/$C$21</f>
        <v>#DIV/0!</v>
      </c>
      <c r="BW21" s="345" t="e">
        <f>100*STDEV(AP21,AS21,AV21,AY21,BB21,BE21,BH21,BK21,BN21,BQ21)/$C$21</f>
        <v>#DIV/0!</v>
      </c>
      <c r="BX21" s="164" t="e">
        <f t="shared" si="7"/>
        <v>#DIV/0!</v>
      </c>
      <c r="BY21" s="165" t="e">
        <f t="shared" si="0"/>
        <v>#DIV/0!</v>
      </c>
      <c r="BZ21" s="166" t="e">
        <f t="shared" si="1"/>
        <v>#DIV/0!</v>
      </c>
      <c r="CA21" s="164" t="e">
        <f t="shared" si="2"/>
        <v>#DIV/0!</v>
      </c>
      <c r="CB21" s="165" t="e">
        <f t="shared" si="3"/>
        <v>#DIV/0!</v>
      </c>
      <c r="CC21" s="166" t="e">
        <f t="shared" si="4"/>
        <v>#DIV/0!</v>
      </c>
    </row>
    <row r="22" spans="2:81" ht="15" customHeight="1" thickBot="1">
      <c r="B22" s="50">
        <v>18</v>
      </c>
      <c r="C22" s="48">
        <v>0.88800000000000001</v>
      </c>
      <c r="D22" s="4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256"/>
      <c r="AH22" s="128" t="e">
        <f t="shared" si="5"/>
        <v>#DIV/0!</v>
      </c>
      <c r="AI22" s="54" t="e">
        <f t="shared" si="5"/>
        <v>#DIV/0!</v>
      </c>
      <c r="AJ22" s="55" t="e">
        <f t="shared" si="5"/>
        <v>#DIV/0!</v>
      </c>
      <c r="AK22" s="344" t="e">
        <f>100*STDEV(D22,G22,J22,M22,P22,S22,V22,Y22,AB22,AE22)/$C$22</f>
        <v>#DIV/0!</v>
      </c>
      <c r="AL22" s="54" t="e">
        <f>100*STDEV(E22,H22,K22,N22,Q22,T22,W22,Z22,AC22,AF22)/$C$22</f>
        <v>#DIV/0!</v>
      </c>
      <c r="AM22" s="55" t="e">
        <f>100*STDEV(F22,I22,L22,O22,R22,U22,X22,AA22,AD22,AG22)/$C$22</f>
        <v>#DIV/0!</v>
      </c>
      <c r="AN22" s="44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256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256"/>
      <c r="BR22" s="127" t="e">
        <f t="shared" si="6"/>
        <v>#DIV/0!</v>
      </c>
      <c r="BS22" s="392" t="e">
        <f t="shared" si="6"/>
        <v>#DIV/0!</v>
      </c>
      <c r="BT22" s="345" t="e">
        <f t="shared" si="6"/>
        <v>#DIV/0!</v>
      </c>
      <c r="BU22" s="392" t="e">
        <f>100*STDEV(AN22,AQ22,AT22,AW22,AZ22,BC22,BF22,BI22,BL22,BO22)/$C$22</f>
        <v>#DIV/0!</v>
      </c>
      <c r="BV22" s="52" t="e">
        <f>100*STDEV(AO22,AR22,AU22,AX22,BA22,BD22,BG22,BJ22,BM22,BP22)/$C$22</f>
        <v>#DIV/0!</v>
      </c>
      <c r="BW22" s="345" t="e">
        <f>100*STDEV(AP22,AS22,AV22,AY22,BB22,BE22,BH22,BK22,BN22,BQ22)/$C$22</f>
        <v>#DIV/0!</v>
      </c>
      <c r="BX22" s="164" t="e">
        <f t="shared" si="7"/>
        <v>#DIV/0!</v>
      </c>
      <c r="BY22" s="165" t="e">
        <f t="shared" si="0"/>
        <v>#DIV/0!</v>
      </c>
      <c r="BZ22" s="166" t="e">
        <f t="shared" si="1"/>
        <v>#DIV/0!</v>
      </c>
      <c r="CA22" s="164" t="e">
        <f t="shared" si="2"/>
        <v>#DIV/0!</v>
      </c>
      <c r="CB22" s="165" t="e">
        <f t="shared" si="3"/>
        <v>#DIV/0!</v>
      </c>
      <c r="CC22" s="166" t="e">
        <f t="shared" si="4"/>
        <v>#DIV/0!</v>
      </c>
    </row>
    <row r="23" spans="2:81" ht="15" customHeight="1" thickBot="1">
      <c r="B23" s="50">
        <v>19</v>
      </c>
      <c r="C23" s="48">
        <v>1.03</v>
      </c>
      <c r="D23" s="4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256"/>
      <c r="AH23" s="128" t="e">
        <f t="shared" si="5"/>
        <v>#DIV/0!</v>
      </c>
      <c r="AI23" s="54" t="e">
        <f t="shared" si="5"/>
        <v>#DIV/0!</v>
      </c>
      <c r="AJ23" s="55" t="e">
        <f t="shared" si="5"/>
        <v>#DIV/0!</v>
      </c>
      <c r="AK23" s="344" t="e">
        <f>100*STDEV(D23,G23,J23,M23,P23,S23,V23,Y23,AB23,AE23)/$C$23</f>
        <v>#DIV/0!</v>
      </c>
      <c r="AL23" s="54" t="e">
        <f>100*STDEV(E23,H23,K23,N23,Q23,T23,W23,Z23,AC23,AF23)/$C$23</f>
        <v>#DIV/0!</v>
      </c>
      <c r="AM23" s="55" t="e">
        <f>100*STDEV(F23,I23,L23,O23,R23,U23,X23,AA23,AD23,AG23)/$C$23</f>
        <v>#DIV/0!</v>
      </c>
      <c r="AN23" s="44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256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256"/>
      <c r="BR23" s="127" t="e">
        <f t="shared" si="6"/>
        <v>#DIV/0!</v>
      </c>
      <c r="BS23" s="392" t="e">
        <f t="shared" si="6"/>
        <v>#DIV/0!</v>
      </c>
      <c r="BT23" s="345" t="e">
        <f t="shared" si="6"/>
        <v>#DIV/0!</v>
      </c>
      <c r="BU23" s="392" t="e">
        <f>100*STDEV(AN23,AQ23,AT23,AW23,AZ23,BC23,BF23,BI23,BL23,BO23)/$C$23</f>
        <v>#DIV/0!</v>
      </c>
      <c r="BV23" s="52" t="e">
        <f>100*STDEV(AO23,AR23,AU23,AX23,BA23,BD23,BG23,BJ23,BM23,BP23)/$C$23</f>
        <v>#DIV/0!</v>
      </c>
      <c r="BW23" s="345" t="e">
        <f>100*STDEV(AP23,AS23,AV23,AY23,BB23,BE23,BH23,BK23,BN23,BQ23)/$C$23</f>
        <v>#DIV/0!</v>
      </c>
      <c r="BX23" s="164" t="e">
        <f t="shared" si="7"/>
        <v>#DIV/0!</v>
      </c>
      <c r="BY23" s="165" t="e">
        <f t="shared" si="0"/>
        <v>#DIV/0!</v>
      </c>
      <c r="BZ23" s="166" t="e">
        <f t="shared" si="1"/>
        <v>#DIV/0!</v>
      </c>
      <c r="CA23" s="164" t="e">
        <f t="shared" si="2"/>
        <v>#DIV/0!</v>
      </c>
      <c r="CB23" s="165" t="e">
        <f t="shared" si="3"/>
        <v>#DIV/0!</v>
      </c>
      <c r="CC23" s="166" t="e">
        <f t="shared" si="4"/>
        <v>#DIV/0!</v>
      </c>
    </row>
    <row r="24" spans="2:81" ht="15" customHeight="1" thickBot="1">
      <c r="B24" s="50">
        <v>20</v>
      </c>
      <c r="C24" s="48">
        <v>0.8</v>
      </c>
      <c r="D24" s="4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256"/>
      <c r="AH24" s="128" t="e">
        <f t="shared" si="5"/>
        <v>#DIV/0!</v>
      </c>
      <c r="AI24" s="54" t="e">
        <f t="shared" si="5"/>
        <v>#DIV/0!</v>
      </c>
      <c r="AJ24" s="55" t="e">
        <f t="shared" si="5"/>
        <v>#DIV/0!</v>
      </c>
      <c r="AK24" s="344" t="e">
        <f>100*STDEV(D24,G24,J24,M24,P24,S24,V24,Y24,AB24,AE24)/$C$24</f>
        <v>#DIV/0!</v>
      </c>
      <c r="AL24" s="54" t="e">
        <f>100*STDEV(E24,H24,K24,N24,Q24,T24,W24,Z24,AC24,AF24)/$C$24</f>
        <v>#DIV/0!</v>
      </c>
      <c r="AM24" s="55" t="e">
        <f>100*STDEV(F24,I24,L24,O24,R24,U24,X24,AA24,AD24,AG24)/$C$24</f>
        <v>#DIV/0!</v>
      </c>
      <c r="AN24" s="44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256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256"/>
      <c r="BR24" s="127" t="e">
        <f t="shared" si="6"/>
        <v>#DIV/0!</v>
      </c>
      <c r="BS24" s="392" t="e">
        <f t="shared" si="6"/>
        <v>#DIV/0!</v>
      </c>
      <c r="BT24" s="345" t="e">
        <f t="shared" si="6"/>
        <v>#DIV/0!</v>
      </c>
      <c r="BU24" s="392" t="e">
        <f>100*STDEV(AN24,AQ24,AT24,AW24,AZ24,BC24,BF24,BI24,BL24,BO24)/$C$24</f>
        <v>#DIV/0!</v>
      </c>
      <c r="BV24" s="52" t="e">
        <f>100*STDEV(AO24,AR24,AU24,AX24,BA24,BD24,BG24,BJ24,BM24,BP24)/$C$24</f>
        <v>#DIV/0!</v>
      </c>
      <c r="BW24" s="345" t="e">
        <f>100*STDEV(AP24,AS24,AV24,AY24,BB24,BE24,BH24,BK24,BN24,BQ24)/$C$24</f>
        <v>#DIV/0!</v>
      </c>
      <c r="BX24" s="164" t="e">
        <f t="shared" si="7"/>
        <v>#DIV/0!</v>
      </c>
      <c r="BY24" s="165" t="e">
        <f t="shared" si="0"/>
        <v>#DIV/0!</v>
      </c>
      <c r="BZ24" s="166" t="e">
        <f t="shared" si="1"/>
        <v>#DIV/0!</v>
      </c>
      <c r="CA24" s="164" t="e">
        <f t="shared" si="2"/>
        <v>#DIV/0!</v>
      </c>
      <c r="CB24" s="165" t="e">
        <f t="shared" si="3"/>
        <v>#DIV/0!</v>
      </c>
      <c r="CC24" s="166" t="e">
        <f t="shared" si="4"/>
        <v>#DIV/0!</v>
      </c>
    </row>
    <row r="25" spans="2:81" ht="15" customHeight="1" thickBot="1">
      <c r="B25" s="50">
        <v>21</v>
      </c>
      <c r="C25" s="48">
        <v>0.93200000000000005</v>
      </c>
      <c r="D25" s="4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256"/>
      <c r="AH25" s="128" t="e">
        <f t="shared" si="5"/>
        <v>#DIV/0!</v>
      </c>
      <c r="AI25" s="54" t="e">
        <f t="shared" si="5"/>
        <v>#DIV/0!</v>
      </c>
      <c r="AJ25" s="55" t="e">
        <f t="shared" si="5"/>
        <v>#DIV/0!</v>
      </c>
      <c r="AK25" s="344" t="e">
        <f>100*STDEV(D25,G25,J25,M25,P25,S25,V25,Y25,AB25,AE25)/$C$25</f>
        <v>#DIV/0!</v>
      </c>
      <c r="AL25" s="54" t="e">
        <f>100*STDEV(E25,H25,K25,N25,Q25,T25,W25,Z25,AC25,AF25)/$C$25</f>
        <v>#DIV/0!</v>
      </c>
      <c r="AM25" s="55" t="e">
        <f>100*STDEV(F25,I25,L25,O25,R25,U25,X25,AA25,AD25,AG25)/$C$25</f>
        <v>#DIV/0!</v>
      </c>
      <c r="AN25" s="44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256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256"/>
      <c r="BR25" s="127" t="e">
        <f t="shared" si="6"/>
        <v>#DIV/0!</v>
      </c>
      <c r="BS25" s="392" t="e">
        <f t="shared" si="6"/>
        <v>#DIV/0!</v>
      </c>
      <c r="BT25" s="345" t="e">
        <f t="shared" si="6"/>
        <v>#DIV/0!</v>
      </c>
      <c r="BU25" s="392" t="e">
        <f>100*STDEV(AN25,AQ25,AT25,AW25,AZ25,BC25,BF25,BI25,BL25,BO25)/$C$25</f>
        <v>#DIV/0!</v>
      </c>
      <c r="BV25" s="52" t="e">
        <f>100*STDEV(AO25,AR25,AU25,AX25,BA25,BD25,BG25,BJ25,BM25,BP25)/$C$25</f>
        <v>#DIV/0!</v>
      </c>
      <c r="BW25" s="345" t="e">
        <f>100*STDEV(AP25,AS25,AV25,AY25,BB25,BE25,BH25,BK25,BN25,BQ25)/$C$25</f>
        <v>#DIV/0!</v>
      </c>
      <c r="BX25" s="164" t="e">
        <f t="shared" si="7"/>
        <v>#DIV/0!</v>
      </c>
      <c r="BY25" s="165" t="e">
        <f t="shared" si="0"/>
        <v>#DIV/0!</v>
      </c>
      <c r="BZ25" s="166" t="e">
        <f t="shared" si="1"/>
        <v>#DIV/0!</v>
      </c>
      <c r="CA25" s="164" t="e">
        <f t="shared" si="2"/>
        <v>#DIV/0!</v>
      </c>
      <c r="CB25" s="165" t="e">
        <f t="shared" si="3"/>
        <v>#DIV/0!</v>
      </c>
      <c r="CC25" s="166" t="e">
        <f t="shared" si="4"/>
        <v>#DIV/0!</v>
      </c>
    </row>
    <row r="26" spans="2:81" ht="15" customHeight="1" thickBot="1">
      <c r="B26" s="50">
        <v>22</v>
      </c>
      <c r="C26" s="48">
        <v>0.72799999999999998</v>
      </c>
      <c r="D26" s="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256"/>
      <c r="AH26" s="128" t="e">
        <f t="shared" si="5"/>
        <v>#DIV/0!</v>
      </c>
      <c r="AI26" s="54" t="e">
        <f t="shared" si="5"/>
        <v>#DIV/0!</v>
      </c>
      <c r="AJ26" s="55" t="e">
        <f t="shared" si="5"/>
        <v>#DIV/0!</v>
      </c>
      <c r="AK26" s="344" t="e">
        <f>100*STDEV(D26,G26,J26,M26,P26,S26,V26,Y26,AB26,AE26)/$C$26</f>
        <v>#DIV/0!</v>
      </c>
      <c r="AL26" s="54" t="e">
        <f>100*STDEV(E26,H26,K26,N26,Q26,T26,W26,Z26,AC26,AF26)/$C$26</f>
        <v>#DIV/0!</v>
      </c>
      <c r="AM26" s="55" t="e">
        <f>100*STDEV(F26,I26,L26,O26,R26,U26,X26,AA26,AD26,AG26)/$C$26</f>
        <v>#DIV/0!</v>
      </c>
      <c r="AN26" s="44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256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256"/>
      <c r="BR26" s="127" t="e">
        <f t="shared" si="6"/>
        <v>#DIV/0!</v>
      </c>
      <c r="BS26" s="392" t="e">
        <f t="shared" si="6"/>
        <v>#DIV/0!</v>
      </c>
      <c r="BT26" s="345" t="e">
        <f t="shared" si="6"/>
        <v>#DIV/0!</v>
      </c>
      <c r="BU26" s="392" t="e">
        <f>100*STDEV(AN26,AQ26,AT26,AW26,AZ26,BC26,BF26,BI26,BL26,BO26)/$C$26</f>
        <v>#DIV/0!</v>
      </c>
      <c r="BV26" s="52" t="e">
        <f>100*STDEV(AO26,AR26,AU26,AX26,BA26,BD26,BG26,BJ26,BM26,BP26)/$C$26</f>
        <v>#DIV/0!</v>
      </c>
      <c r="BW26" s="345" t="e">
        <f>100*STDEV(AP26,AS26,AV26,AY26,BB26,BE26,BH26,BK26,BN26,BQ26)/$C$26</f>
        <v>#DIV/0!</v>
      </c>
      <c r="BX26" s="164" t="e">
        <f t="shared" si="7"/>
        <v>#DIV/0!</v>
      </c>
      <c r="BY26" s="165" t="e">
        <f t="shared" si="0"/>
        <v>#DIV/0!</v>
      </c>
      <c r="BZ26" s="166" t="e">
        <f t="shared" si="1"/>
        <v>#DIV/0!</v>
      </c>
      <c r="CA26" s="164" t="e">
        <f t="shared" si="2"/>
        <v>#DIV/0!</v>
      </c>
      <c r="CB26" s="165" t="e">
        <f t="shared" si="3"/>
        <v>#DIV/0!</v>
      </c>
      <c r="CC26" s="166" t="e">
        <f t="shared" si="4"/>
        <v>#DIV/0!</v>
      </c>
    </row>
    <row r="27" spans="2:81" ht="15" customHeight="1" thickBot="1">
      <c r="B27" s="50">
        <v>23</v>
      </c>
      <c r="C27" s="48">
        <v>0.84</v>
      </c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256"/>
      <c r="AH27" s="128" t="e">
        <f t="shared" si="5"/>
        <v>#DIV/0!</v>
      </c>
      <c r="AI27" s="54" t="e">
        <f t="shared" si="5"/>
        <v>#DIV/0!</v>
      </c>
      <c r="AJ27" s="55" t="e">
        <f t="shared" si="5"/>
        <v>#DIV/0!</v>
      </c>
      <c r="AK27" s="344" t="e">
        <f>100*STDEV(D27,G27,J27,M27,P27,S27,V27,Y27,AB27,AE27)/$C$27</f>
        <v>#DIV/0!</v>
      </c>
      <c r="AL27" s="54" t="e">
        <f>100*STDEV(E27,H27,K27,N27,Q27,T27,W27,Z27,AC27,AF27)/$C$27</f>
        <v>#DIV/0!</v>
      </c>
      <c r="AM27" s="55" t="e">
        <f>100*STDEV(F27,I27,L27,O27,R27,U27,X27,AA27,AD27,AG27)/$C$27</f>
        <v>#DIV/0!</v>
      </c>
      <c r="AN27" s="44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256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256"/>
      <c r="BR27" s="127" t="e">
        <f t="shared" si="6"/>
        <v>#DIV/0!</v>
      </c>
      <c r="BS27" s="392" t="e">
        <f t="shared" si="6"/>
        <v>#DIV/0!</v>
      </c>
      <c r="BT27" s="345" t="e">
        <f t="shared" si="6"/>
        <v>#DIV/0!</v>
      </c>
      <c r="BU27" s="392" t="e">
        <f>100*STDEV(AN27,AQ27,AT27,AW27,AZ27,BC27,BF27,BI27,BL27,BO27)/$C$27</f>
        <v>#DIV/0!</v>
      </c>
      <c r="BV27" s="52" t="e">
        <f>100*STDEV(AO27,AR27,AU27,AX27,BA27,BD27,BG27,BJ27,BM27,BP27)/$C$27</f>
        <v>#DIV/0!</v>
      </c>
      <c r="BW27" s="345" t="e">
        <f>100*STDEV(AP27,AS27,AV27,AY27,BB27,BE27,BH27,BK27,BN27,BQ27)/$C$27</f>
        <v>#DIV/0!</v>
      </c>
      <c r="BX27" s="164" t="e">
        <f t="shared" si="7"/>
        <v>#DIV/0!</v>
      </c>
      <c r="BY27" s="165" t="e">
        <f t="shared" si="0"/>
        <v>#DIV/0!</v>
      </c>
      <c r="BZ27" s="166" t="e">
        <f t="shared" si="1"/>
        <v>#DIV/0!</v>
      </c>
      <c r="CA27" s="164" t="e">
        <f t="shared" si="2"/>
        <v>#DIV/0!</v>
      </c>
      <c r="CB27" s="165" t="e">
        <f t="shared" si="3"/>
        <v>#DIV/0!</v>
      </c>
      <c r="CC27" s="166" t="e">
        <f t="shared" si="4"/>
        <v>#DIV/0!</v>
      </c>
    </row>
    <row r="28" spans="2:81" ht="15" customHeight="1" thickBot="1">
      <c r="B28" s="50">
        <v>24</v>
      </c>
      <c r="C28" s="48">
        <v>0.66600000000000004</v>
      </c>
      <c r="D28" s="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256"/>
      <c r="AH28" s="128" t="e">
        <f t="shared" si="5"/>
        <v>#DIV/0!</v>
      </c>
      <c r="AI28" s="54" t="e">
        <f t="shared" si="5"/>
        <v>#DIV/0!</v>
      </c>
      <c r="AJ28" s="55" t="e">
        <f t="shared" si="5"/>
        <v>#DIV/0!</v>
      </c>
      <c r="AK28" s="344" t="e">
        <f>100*STDEV(D28,G28,J28,M28,P28,S28,V28,Y28,AB28,AE28)/$C$28</f>
        <v>#DIV/0!</v>
      </c>
      <c r="AL28" s="54" t="e">
        <f>100*STDEV(E28,H28,K28,N28,Q28,T28,W28,Z28,AC28,AF28)/$C$28</f>
        <v>#DIV/0!</v>
      </c>
      <c r="AM28" s="55" t="e">
        <f>100*STDEV(F28,I28,L28,O28,R28,U28,X28,AA28,AD28,AG28)/$C$28</f>
        <v>#DIV/0!</v>
      </c>
      <c r="AN28" s="44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256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256"/>
      <c r="BR28" s="127" t="e">
        <f t="shared" si="6"/>
        <v>#DIV/0!</v>
      </c>
      <c r="BS28" s="392" t="e">
        <f t="shared" si="6"/>
        <v>#DIV/0!</v>
      </c>
      <c r="BT28" s="345" t="e">
        <f t="shared" si="6"/>
        <v>#DIV/0!</v>
      </c>
      <c r="BU28" s="392" t="e">
        <f>100*STDEV(AN28,AQ28,AT28,AW28,AZ28,BC28,BF28,BI28,BL28,BO28)/$C$28</f>
        <v>#DIV/0!</v>
      </c>
      <c r="BV28" s="52" t="e">
        <f>100*STDEV(AO28,AR28,AU28,AX28,BA28,BD28,BG28,BJ28,BM28,BP28)/$C$28</f>
        <v>#DIV/0!</v>
      </c>
      <c r="BW28" s="345" t="e">
        <f>100*STDEV(AP28,AS28,AV28,AY28,BB28,BE28,BH28,BK28,BN28,BQ28)/$C$28</f>
        <v>#DIV/0!</v>
      </c>
      <c r="BX28" s="164" t="e">
        <f t="shared" si="7"/>
        <v>#DIV/0!</v>
      </c>
      <c r="BY28" s="165" t="e">
        <f t="shared" si="0"/>
        <v>#DIV/0!</v>
      </c>
      <c r="BZ28" s="166" t="e">
        <f t="shared" si="1"/>
        <v>#DIV/0!</v>
      </c>
      <c r="CA28" s="164" t="e">
        <f t="shared" si="2"/>
        <v>#DIV/0!</v>
      </c>
      <c r="CB28" s="165" t="e">
        <f t="shared" si="3"/>
        <v>#DIV/0!</v>
      </c>
      <c r="CC28" s="166" t="e">
        <f t="shared" si="4"/>
        <v>#DIV/0!</v>
      </c>
    </row>
    <row r="29" spans="2:81" ht="15" customHeight="1" thickBot="1">
      <c r="B29" s="50">
        <v>25</v>
      </c>
      <c r="C29" s="48">
        <v>0.78200000000000003</v>
      </c>
      <c r="D29" s="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256"/>
      <c r="AH29" s="128" t="e">
        <f t="shared" si="5"/>
        <v>#DIV/0!</v>
      </c>
      <c r="AI29" s="54" t="e">
        <f t="shared" si="5"/>
        <v>#DIV/0!</v>
      </c>
      <c r="AJ29" s="55" t="e">
        <f t="shared" si="5"/>
        <v>#DIV/0!</v>
      </c>
      <c r="AK29" s="344" t="e">
        <f>100*STDEV(D29,G29,J29,M29,P29,S29,V29,Y29,AB29,AE29)/$C$29</f>
        <v>#DIV/0!</v>
      </c>
      <c r="AL29" s="54" t="e">
        <f>100*STDEV(E29,H29,K29,N29,Q29,T29,W29,Z29,AC29,AF29)/$C$29</f>
        <v>#DIV/0!</v>
      </c>
      <c r="AM29" s="55" t="e">
        <f>100*STDEV(F29,I29,L29,O29,R29,U29,X29,AA29,AD29,AG29)/$C$29</f>
        <v>#DIV/0!</v>
      </c>
      <c r="AN29" s="44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256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256"/>
      <c r="BR29" s="127" t="e">
        <f t="shared" si="6"/>
        <v>#DIV/0!</v>
      </c>
      <c r="BS29" s="392" t="e">
        <f t="shared" si="6"/>
        <v>#DIV/0!</v>
      </c>
      <c r="BT29" s="345" t="e">
        <f t="shared" si="6"/>
        <v>#DIV/0!</v>
      </c>
      <c r="BU29" s="392" t="e">
        <f>100*STDEV(AN29,AQ29,AT29,AW29,AZ29,BC29,BF29,BI29,BL29,BO29)/$C$29</f>
        <v>#DIV/0!</v>
      </c>
      <c r="BV29" s="52" t="e">
        <f>100*STDEV(AO29,AR29,AU29,AX29,BA29,BD29,BG29,BJ29,BM29,BP29)/$C$29</f>
        <v>#DIV/0!</v>
      </c>
      <c r="BW29" s="345" t="e">
        <f>100*STDEV(AP29,AS29,AV29,AY29,BB29,BE29,BH29,BK29,BN29,BQ29)/$C$29</f>
        <v>#DIV/0!</v>
      </c>
      <c r="BX29" s="164" t="e">
        <f t="shared" si="7"/>
        <v>#DIV/0!</v>
      </c>
      <c r="BY29" s="165" t="e">
        <f t="shared" si="0"/>
        <v>#DIV/0!</v>
      </c>
      <c r="BZ29" s="166" t="e">
        <f t="shared" si="1"/>
        <v>#DIV/0!</v>
      </c>
      <c r="CA29" s="164" t="e">
        <f t="shared" si="2"/>
        <v>#DIV/0!</v>
      </c>
      <c r="CB29" s="165" t="e">
        <f t="shared" si="3"/>
        <v>#DIV/0!</v>
      </c>
      <c r="CC29" s="166" t="e">
        <f t="shared" si="4"/>
        <v>#DIV/0!</v>
      </c>
    </row>
    <row r="30" spans="2:81" ht="15" customHeight="1" thickBot="1">
      <c r="B30" s="50">
        <v>26</v>
      </c>
      <c r="C30" s="48">
        <v>0.61599999999999999</v>
      </c>
      <c r="D30" s="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256"/>
      <c r="AH30" s="128" t="e">
        <f t="shared" si="5"/>
        <v>#DIV/0!</v>
      </c>
      <c r="AI30" s="54" t="e">
        <f t="shared" si="5"/>
        <v>#DIV/0!</v>
      </c>
      <c r="AJ30" s="55" t="e">
        <f t="shared" si="5"/>
        <v>#DIV/0!</v>
      </c>
      <c r="AK30" s="344" t="e">
        <f>100*STDEV(D30,G30,J30,M30,P30,S30,V30,Y30,AB30,AE30)/$C$30</f>
        <v>#DIV/0!</v>
      </c>
      <c r="AL30" s="54" t="e">
        <f>100*STDEV(E30,H30,K30,N30,Q30,T30,W30,Z30,AC30,AF30)/$C$30</f>
        <v>#DIV/0!</v>
      </c>
      <c r="AM30" s="55" t="e">
        <f>100*STDEV(F30,I30,L30,O30,R30,U30,X30,AA30,AD30,AG30)/$C$30</f>
        <v>#DIV/0!</v>
      </c>
      <c r="AN30" s="44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256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256"/>
      <c r="BR30" s="127" t="e">
        <f t="shared" si="6"/>
        <v>#DIV/0!</v>
      </c>
      <c r="BS30" s="392" t="e">
        <f t="shared" si="6"/>
        <v>#DIV/0!</v>
      </c>
      <c r="BT30" s="345" t="e">
        <f t="shared" si="6"/>
        <v>#DIV/0!</v>
      </c>
      <c r="BU30" s="392" t="e">
        <f>100*STDEV(AN30,AQ30,AT30,AW30,AZ30,BC30,BF30,BI30,BL30,BO30)/$C$30</f>
        <v>#DIV/0!</v>
      </c>
      <c r="BV30" s="52" t="e">
        <f>100*STDEV(AO30,AR30,AU30,AX30,BA30,BD30,BG30,BJ30,BM30,BP30)/$C$30</f>
        <v>#DIV/0!</v>
      </c>
      <c r="BW30" s="345" t="e">
        <f>100*STDEV(AP30,AS30,AV30,AY30,BB30,BE30,BH30,BK30,BN30,BQ30)/$C$30</f>
        <v>#DIV/0!</v>
      </c>
      <c r="BX30" s="164" t="e">
        <f t="shared" si="7"/>
        <v>#DIV/0!</v>
      </c>
      <c r="BY30" s="165" t="e">
        <f t="shared" si="0"/>
        <v>#DIV/0!</v>
      </c>
      <c r="BZ30" s="166" t="e">
        <f t="shared" si="1"/>
        <v>#DIV/0!</v>
      </c>
      <c r="CA30" s="164" t="e">
        <f t="shared" si="2"/>
        <v>#DIV/0!</v>
      </c>
      <c r="CB30" s="165" t="e">
        <f t="shared" si="3"/>
        <v>#DIV/0!</v>
      </c>
      <c r="CC30" s="166" t="e">
        <f t="shared" si="4"/>
        <v>#DIV/0!</v>
      </c>
    </row>
    <row r="31" spans="2:81" ht="15" customHeight="1" thickBot="1">
      <c r="B31" s="50">
        <v>27</v>
      </c>
      <c r="C31" s="48">
        <v>0.72399999999999998</v>
      </c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256"/>
      <c r="AH31" s="128" t="e">
        <f t="shared" si="5"/>
        <v>#DIV/0!</v>
      </c>
      <c r="AI31" s="54" t="e">
        <f t="shared" si="5"/>
        <v>#DIV/0!</v>
      </c>
      <c r="AJ31" s="55" t="e">
        <f t="shared" si="5"/>
        <v>#DIV/0!</v>
      </c>
      <c r="AK31" s="344" t="e">
        <f>100*STDEV(D31,G31,J31,M31,P31,S31,V31,Y31,AB31,AE31)/$C$31</f>
        <v>#DIV/0!</v>
      </c>
      <c r="AL31" s="54" t="e">
        <f>100*STDEV(E31,H31,K31,N31,Q31,T31,W31,Z31,AC31,AF31)/$C$31</f>
        <v>#DIV/0!</v>
      </c>
      <c r="AM31" s="55" t="e">
        <f>100*STDEV(F31,I31,L31,O31,R31,U31,X31,AA31,AD31,AG31)/$C$31</f>
        <v>#DIV/0!</v>
      </c>
      <c r="AN31" s="44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256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256"/>
      <c r="BR31" s="127" t="e">
        <f t="shared" si="6"/>
        <v>#DIV/0!</v>
      </c>
      <c r="BS31" s="392" t="e">
        <f t="shared" si="6"/>
        <v>#DIV/0!</v>
      </c>
      <c r="BT31" s="345" t="e">
        <f t="shared" si="6"/>
        <v>#DIV/0!</v>
      </c>
      <c r="BU31" s="392" t="e">
        <f>100*STDEV(AN31,AQ31,AT31,AW31,AZ31,BC31,BF31,BI31,BL31,BO31)/$C$31</f>
        <v>#DIV/0!</v>
      </c>
      <c r="BV31" s="52" t="e">
        <f>100*STDEV(AO31,AR31,AU31,AX31,BA31,BD31,BG31,BJ31,BM31,BP31)/$C$31</f>
        <v>#DIV/0!</v>
      </c>
      <c r="BW31" s="345" t="e">
        <f>100*STDEV(AP31,AS31,AV31,AY31,BB31,BE31,BH31,BK31,BN31,BQ31)/$C$31</f>
        <v>#DIV/0!</v>
      </c>
      <c r="BX31" s="164" t="e">
        <f t="shared" si="7"/>
        <v>#DIV/0!</v>
      </c>
      <c r="BY31" s="165" t="e">
        <f t="shared" si="0"/>
        <v>#DIV/0!</v>
      </c>
      <c r="BZ31" s="166" t="e">
        <f t="shared" si="1"/>
        <v>#DIV/0!</v>
      </c>
      <c r="CA31" s="164" t="e">
        <f t="shared" si="2"/>
        <v>#DIV/0!</v>
      </c>
      <c r="CB31" s="165" t="e">
        <f t="shared" si="3"/>
        <v>#DIV/0!</v>
      </c>
      <c r="CC31" s="166" t="e">
        <f t="shared" si="4"/>
        <v>#DIV/0!</v>
      </c>
    </row>
    <row r="32" spans="2:81" ht="15" customHeight="1" thickBot="1">
      <c r="B32" s="50">
        <v>28</v>
      </c>
      <c r="C32" s="48">
        <v>0.57199999999999995</v>
      </c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256"/>
      <c r="AH32" s="128" t="e">
        <f t="shared" si="5"/>
        <v>#DIV/0!</v>
      </c>
      <c r="AI32" s="54" t="e">
        <f t="shared" si="5"/>
        <v>#DIV/0!</v>
      </c>
      <c r="AJ32" s="55" t="e">
        <f t="shared" si="5"/>
        <v>#DIV/0!</v>
      </c>
      <c r="AK32" s="344" t="e">
        <f>100*STDEV(D32,G32,J32,M32,P32,S32,V32,Y32,AB32,AE32)/$C$32</f>
        <v>#DIV/0!</v>
      </c>
      <c r="AL32" s="54" t="e">
        <f>100*STDEV(E32,H32,K32,N32,Q32,T32,W32,Z32,AC32,AF32)/$C$32</f>
        <v>#DIV/0!</v>
      </c>
      <c r="AM32" s="55" t="e">
        <f>100*STDEV(F32,I32,L32,O32,R32,U32,X32,AA32,AD32,AG32)/$C$32</f>
        <v>#DIV/0!</v>
      </c>
      <c r="AN32" s="44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256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256"/>
      <c r="BR32" s="127" t="e">
        <f t="shared" si="6"/>
        <v>#DIV/0!</v>
      </c>
      <c r="BS32" s="392" t="e">
        <f t="shared" si="6"/>
        <v>#DIV/0!</v>
      </c>
      <c r="BT32" s="345" t="e">
        <f t="shared" si="6"/>
        <v>#DIV/0!</v>
      </c>
      <c r="BU32" s="392" t="e">
        <f>100*STDEV(AN32,AQ32,AT32,AW32,AZ32,BC32,BF32,BI32,BL32,BO32)/$C$32</f>
        <v>#DIV/0!</v>
      </c>
      <c r="BV32" s="52" t="e">
        <f>100*STDEV(AO32,AR32,AU32,AX32,BA32,BD32,BG32,BJ32,BM32,BP32)/$C$32</f>
        <v>#DIV/0!</v>
      </c>
      <c r="BW32" s="345" t="e">
        <f>100*STDEV(AP32,AS32,AV32,AY32,BB32,BE32,BH32,BK32,BN32,BQ32)/$C$32</f>
        <v>#DIV/0!</v>
      </c>
      <c r="BX32" s="164" t="e">
        <f t="shared" si="7"/>
        <v>#DIV/0!</v>
      </c>
      <c r="BY32" s="165" t="e">
        <f t="shared" si="0"/>
        <v>#DIV/0!</v>
      </c>
      <c r="BZ32" s="166" t="e">
        <f t="shared" si="1"/>
        <v>#DIV/0!</v>
      </c>
      <c r="CA32" s="164" t="e">
        <f t="shared" si="2"/>
        <v>#DIV/0!</v>
      </c>
      <c r="CB32" s="165" t="e">
        <f t="shared" si="3"/>
        <v>#DIV/0!</v>
      </c>
      <c r="CC32" s="166" t="e">
        <f t="shared" si="4"/>
        <v>#DIV/0!</v>
      </c>
    </row>
    <row r="33" spans="2:81" ht="15" customHeight="1" thickBot="1">
      <c r="B33" s="50">
        <v>29</v>
      </c>
      <c r="C33" s="48">
        <v>0.67400000000000004</v>
      </c>
      <c r="D33" s="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256"/>
      <c r="AH33" s="128" t="e">
        <f t="shared" si="5"/>
        <v>#DIV/0!</v>
      </c>
      <c r="AI33" s="54" t="e">
        <f t="shared" si="5"/>
        <v>#DIV/0!</v>
      </c>
      <c r="AJ33" s="55" t="e">
        <f t="shared" si="5"/>
        <v>#DIV/0!</v>
      </c>
      <c r="AK33" s="344" t="e">
        <f>100*STDEV(D33,G33,J33,M33,P33,S33,V33,Y33,AB33,AE33)/$C$33</f>
        <v>#DIV/0!</v>
      </c>
      <c r="AL33" s="54" t="e">
        <f>100*STDEV(E33,H33,K33,N33,Q33,T33,W33,Z33,AC33,AF33)/$C$33</f>
        <v>#DIV/0!</v>
      </c>
      <c r="AM33" s="55" t="e">
        <f>100*STDEV(F33,I33,L33,O33,R33,U33,X33,AA33,AD33,AG33)/$C$33</f>
        <v>#DIV/0!</v>
      </c>
      <c r="AN33" s="44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256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256"/>
      <c r="BR33" s="127" t="e">
        <f t="shared" si="6"/>
        <v>#DIV/0!</v>
      </c>
      <c r="BS33" s="392" t="e">
        <f t="shared" si="6"/>
        <v>#DIV/0!</v>
      </c>
      <c r="BT33" s="345" t="e">
        <f t="shared" si="6"/>
        <v>#DIV/0!</v>
      </c>
      <c r="BU33" s="392" t="e">
        <f>100*STDEV(AN33,AQ33,AT33,AW33,AZ33,BC33,BF33,BI33,BL33,BO33)/$C$33</f>
        <v>#DIV/0!</v>
      </c>
      <c r="BV33" s="52" t="e">
        <f>100*STDEV(AO33,AR33,AU33,AX33,BA33,BD33,BG33,BJ33,BM33,BP33)/$C$33</f>
        <v>#DIV/0!</v>
      </c>
      <c r="BW33" s="345" t="e">
        <f>100*STDEV(AP33,AS33,AV33,AY33,BB33,BE33,BH33,BK33,BN33,BQ33)/$C$33</f>
        <v>#DIV/0!</v>
      </c>
      <c r="BX33" s="164" t="e">
        <f t="shared" si="7"/>
        <v>#DIV/0!</v>
      </c>
      <c r="BY33" s="165" t="e">
        <f t="shared" si="0"/>
        <v>#DIV/0!</v>
      </c>
      <c r="BZ33" s="166" t="e">
        <f t="shared" si="1"/>
        <v>#DIV/0!</v>
      </c>
      <c r="CA33" s="164" t="e">
        <f t="shared" si="2"/>
        <v>#DIV/0!</v>
      </c>
      <c r="CB33" s="165" t="e">
        <f t="shared" si="3"/>
        <v>#DIV/0!</v>
      </c>
      <c r="CC33" s="166" t="e">
        <f t="shared" si="4"/>
        <v>#DIV/0!</v>
      </c>
    </row>
    <row r="34" spans="2:81" ht="15" customHeight="1" thickBot="1">
      <c r="B34" s="50">
        <v>30</v>
      </c>
      <c r="C34" s="48">
        <v>0.53400000000000003</v>
      </c>
      <c r="D34" s="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256"/>
      <c r="AH34" s="128" t="e">
        <f t="shared" si="5"/>
        <v>#DIV/0!</v>
      </c>
      <c r="AI34" s="54" t="e">
        <f t="shared" si="5"/>
        <v>#DIV/0!</v>
      </c>
      <c r="AJ34" s="55" t="e">
        <f t="shared" si="5"/>
        <v>#DIV/0!</v>
      </c>
      <c r="AK34" s="344" t="e">
        <f>100*STDEV(D34,G34,J34,M34,P34,S34,V34,Y34,AB34,AE34)/$C$34</f>
        <v>#DIV/0!</v>
      </c>
      <c r="AL34" s="54" t="e">
        <f>100*STDEV(E34,H34,K34,N34,Q34,T34,W34,Z34,AC34,AF34)/$C$34</f>
        <v>#DIV/0!</v>
      </c>
      <c r="AM34" s="55" t="e">
        <f>100*STDEV(F34,I34,L34,O34,R34,U34,X34,AA34,AD34,AG34)/$C$34</f>
        <v>#DIV/0!</v>
      </c>
      <c r="AN34" s="44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256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256"/>
      <c r="BR34" s="127" t="e">
        <f t="shared" si="6"/>
        <v>#DIV/0!</v>
      </c>
      <c r="BS34" s="392" t="e">
        <f t="shared" si="6"/>
        <v>#DIV/0!</v>
      </c>
      <c r="BT34" s="345" t="e">
        <f t="shared" si="6"/>
        <v>#DIV/0!</v>
      </c>
      <c r="BU34" s="392" t="e">
        <f>100*STDEV(AN34,AQ34,AT34,AW34,AZ34,BC34,BF34,BI34,BL34,BO34)/$C$34</f>
        <v>#DIV/0!</v>
      </c>
      <c r="BV34" s="52" t="e">
        <f>100*STDEV(AO34,AR34,AU34,AX34,BA34,BD34,BG34,BJ34,BM34,BP34)/$C$34</f>
        <v>#DIV/0!</v>
      </c>
      <c r="BW34" s="345" t="e">
        <f>100*STDEV(AP34,AS34,AV34,AY34,BB34,BE34,BH34,BK34,BN34,BQ34)/$C$34</f>
        <v>#DIV/0!</v>
      </c>
      <c r="BX34" s="164" t="e">
        <f t="shared" si="7"/>
        <v>#DIV/0!</v>
      </c>
      <c r="BY34" s="165" t="e">
        <f t="shared" si="0"/>
        <v>#DIV/0!</v>
      </c>
      <c r="BZ34" s="166" t="e">
        <f t="shared" si="1"/>
        <v>#DIV/0!</v>
      </c>
      <c r="CA34" s="164" t="e">
        <f t="shared" si="2"/>
        <v>#DIV/0!</v>
      </c>
      <c r="CB34" s="165" t="e">
        <f t="shared" si="3"/>
        <v>#DIV/0!</v>
      </c>
      <c r="CC34" s="166" t="e">
        <f t="shared" si="4"/>
        <v>#DIV/0!</v>
      </c>
    </row>
    <row r="35" spans="2:81" ht="15" customHeight="1" thickBot="1">
      <c r="B35" s="50">
        <v>31</v>
      </c>
      <c r="C35" s="48">
        <v>0.63200000000000001</v>
      </c>
      <c r="D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256"/>
      <c r="AH35" s="128" t="e">
        <f t="shared" si="5"/>
        <v>#DIV/0!</v>
      </c>
      <c r="AI35" s="54" t="e">
        <f t="shared" si="5"/>
        <v>#DIV/0!</v>
      </c>
      <c r="AJ35" s="55" t="e">
        <f t="shared" si="5"/>
        <v>#DIV/0!</v>
      </c>
      <c r="AK35" s="344" t="e">
        <f>100*STDEV(D35,G35,J35,M35,P35,S35,V35,Y35,AB35,AE35)/$C$35</f>
        <v>#DIV/0!</v>
      </c>
      <c r="AL35" s="54" t="e">
        <f>100*STDEV(E35,H35,K35,N35,Q35,T35,W35,Z35,AC35,AF35)/$C$35</f>
        <v>#DIV/0!</v>
      </c>
      <c r="AM35" s="55" t="e">
        <f>100*STDEV(F35,I35,L35,O35,R35,U35,X35,AA35,AD35,AG35)/$C$35</f>
        <v>#DIV/0!</v>
      </c>
      <c r="AN35" s="44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256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256"/>
      <c r="BR35" s="127" t="e">
        <f t="shared" si="6"/>
        <v>#DIV/0!</v>
      </c>
      <c r="BS35" s="392" t="e">
        <f t="shared" si="6"/>
        <v>#DIV/0!</v>
      </c>
      <c r="BT35" s="345" t="e">
        <f t="shared" si="6"/>
        <v>#DIV/0!</v>
      </c>
      <c r="BU35" s="392" t="e">
        <f>100*STDEV(AN35,AQ35,AT35,AW35,AZ35,BC35,BF35,BI35,BL35,BO35)/$C$35</f>
        <v>#DIV/0!</v>
      </c>
      <c r="BV35" s="52" t="e">
        <f>100*STDEV(AO35,AR35,AU35,AX35,BA35,BD35,BG35,BJ35,BM35,BP35)/$C$35</f>
        <v>#DIV/0!</v>
      </c>
      <c r="BW35" s="345" t="e">
        <f>100*STDEV(AP35,AS35,AV35,AY35,BB35,BE35,BH35,BK35,BN35,BQ35)/$C$35</f>
        <v>#DIV/0!</v>
      </c>
      <c r="BX35" s="164" t="e">
        <f t="shared" si="7"/>
        <v>#DIV/0!</v>
      </c>
      <c r="BY35" s="165" t="e">
        <f t="shared" si="0"/>
        <v>#DIV/0!</v>
      </c>
      <c r="BZ35" s="166" t="e">
        <f t="shared" si="1"/>
        <v>#DIV/0!</v>
      </c>
      <c r="CA35" s="164" t="e">
        <f t="shared" si="2"/>
        <v>#DIV/0!</v>
      </c>
      <c r="CB35" s="165" t="e">
        <f t="shared" si="3"/>
        <v>#DIV/0!</v>
      </c>
      <c r="CC35" s="166" t="e">
        <f t="shared" si="4"/>
        <v>#DIV/0!</v>
      </c>
    </row>
    <row r="36" spans="2:81" ht="15" customHeight="1" thickBot="1">
      <c r="B36" s="50">
        <v>32</v>
      </c>
      <c r="C36" s="48">
        <v>0.5</v>
      </c>
      <c r="D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256"/>
      <c r="AH36" s="128" t="e">
        <f t="shared" si="5"/>
        <v>#DIV/0!</v>
      </c>
      <c r="AI36" s="54" t="e">
        <f t="shared" si="5"/>
        <v>#DIV/0!</v>
      </c>
      <c r="AJ36" s="55" t="e">
        <f t="shared" si="5"/>
        <v>#DIV/0!</v>
      </c>
      <c r="AK36" s="344" t="e">
        <f>100*STDEV(D36,G36,J36,M36,P36,S36,V36,Y36,AB36,AE36)/$C$36</f>
        <v>#DIV/0!</v>
      </c>
      <c r="AL36" s="54" t="e">
        <f>100*STDEV(E36,H36,K36,N36,Q36,T36,W36,Z36,AC36,AF36)/$C$36</f>
        <v>#DIV/0!</v>
      </c>
      <c r="AM36" s="55" t="e">
        <f>100*STDEV(F36,I36,L36,O36,R36,U36,X36,AA36,AD36,AG36)/$C$36</f>
        <v>#DIV/0!</v>
      </c>
      <c r="AN36" s="44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256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256"/>
      <c r="BR36" s="127" t="e">
        <f t="shared" si="6"/>
        <v>#DIV/0!</v>
      </c>
      <c r="BS36" s="392" t="e">
        <f t="shared" si="6"/>
        <v>#DIV/0!</v>
      </c>
      <c r="BT36" s="345" t="e">
        <f t="shared" si="6"/>
        <v>#DIV/0!</v>
      </c>
      <c r="BU36" s="392" t="e">
        <f>100*STDEV(AN36,AQ36,AT36,AW36,AZ36,BC36,BF36,BI36,BL36,BO36)/$C$36</f>
        <v>#DIV/0!</v>
      </c>
      <c r="BV36" s="52" t="e">
        <f>100*STDEV(AO36,AR36,AU36,AX36,BA36,BD36,BG36,BJ36,BM36,BP36)/$C$36</f>
        <v>#DIV/0!</v>
      </c>
      <c r="BW36" s="345" t="e">
        <f>100*STDEV(AP36,AS36,AV36,AY36,BB36,BE36,BH36,BK36,BN36,BQ36)/$C$36</f>
        <v>#DIV/0!</v>
      </c>
      <c r="BX36" s="164" t="e">
        <f t="shared" si="7"/>
        <v>#DIV/0!</v>
      </c>
      <c r="BY36" s="165" t="e">
        <f t="shared" si="0"/>
        <v>#DIV/0!</v>
      </c>
      <c r="BZ36" s="166" t="e">
        <f t="shared" si="1"/>
        <v>#DIV/0!</v>
      </c>
      <c r="CA36" s="164" t="e">
        <f t="shared" si="2"/>
        <v>#DIV/0!</v>
      </c>
      <c r="CB36" s="165" t="e">
        <f t="shared" si="3"/>
        <v>#DIV/0!</v>
      </c>
      <c r="CC36" s="166" t="e">
        <f t="shared" si="4"/>
        <v>#DIV/0!</v>
      </c>
    </row>
    <row r="37" spans="2:81" ht="15" customHeight="1" thickBot="1">
      <c r="B37" s="50">
        <v>33</v>
      </c>
      <c r="C37" s="48">
        <v>0.59199999999999997</v>
      </c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256"/>
      <c r="AH37" s="128" t="e">
        <f t="shared" si="5"/>
        <v>#DIV/0!</v>
      </c>
      <c r="AI37" s="54" t="e">
        <f t="shared" si="5"/>
        <v>#DIV/0!</v>
      </c>
      <c r="AJ37" s="55" t="e">
        <f t="shared" si="5"/>
        <v>#DIV/0!</v>
      </c>
      <c r="AK37" s="344" t="e">
        <f>100*STDEV(D37,G37,J37,M37,P37,S37,V37,Y37,AB37,AE37)/$C$37</f>
        <v>#DIV/0!</v>
      </c>
      <c r="AL37" s="54" t="e">
        <f>100*STDEV(E37,H37,K37,N37,Q37,T37,W37,Z37,AC37,AF37)/$C$37</f>
        <v>#DIV/0!</v>
      </c>
      <c r="AM37" s="55" t="e">
        <f>100*STDEV(F37,I37,L37,O37,R37,U37,X37,AA37,AD37,AG37)/$C$37</f>
        <v>#DIV/0!</v>
      </c>
      <c r="AN37" s="44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256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256"/>
      <c r="BR37" s="127" t="e">
        <f t="shared" si="6"/>
        <v>#DIV/0!</v>
      </c>
      <c r="BS37" s="392" t="e">
        <f t="shared" si="6"/>
        <v>#DIV/0!</v>
      </c>
      <c r="BT37" s="345" t="e">
        <f t="shared" si="6"/>
        <v>#DIV/0!</v>
      </c>
      <c r="BU37" s="392" t="e">
        <f>100*STDEV(AN37,AQ37,AT37,AW37,AZ37,BC37,BF37,BI37,BL37,BO37)/$C$37</f>
        <v>#DIV/0!</v>
      </c>
      <c r="BV37" s="52" t="e">
        <f>100*STDEV(AO37,AR37,AU37,AX37,BA37,BD37,BG37,BJ37,BM37,BP37)/$C$37</f>
        <v>#DIV/0!</v>
      </c>
      <c r="BW37" s="345" t="e">
        <f>100*STDEV(AP37,AS37,AV37,AY37,BB37,BE37,BH37,BK37,BN37,BQ37)/$C$37</f>
        <v>#DIV/0!</v>
      </c>
      <c r="BX37" s="164" t="e">
        <f t="shared" si="7"/>
        <v>#DIV/0!</v>
      </c>
      <c r="BY37" s="165" t="e">
        <f t="shared" si="0"/>
        <v>#DIV/0!</v>
      </c>
      <c r="BZ37" s="166" t="e">
        <f t="shared" si="1"/>
        <v>#DIV/0!</v>
      </c>
      <c r="CA37" s="164" t="e">
        <f t="shared" si="2"/>
        <v>#DIV/0!</v>
      </c>
      <c r="CB37" s="165" t="e">
        <f t="shared" si="3"/>
        <v>#DIV/0!</v>
      </c>
      <c r="CC37" s="166" t="e">
        <f t="shared" si="4"/>
        <v>#DIV/0!</v>
      </c>
    </row>
    <row r="38" spans="2:81" ht="15" customHeight="1" thickBot="1">
      <c r="B38" s="50">
        <v>34</v>
      </c>
      <c r="C38" s="48">
        <v>0.47</v>
      </c>
      <c r="D38" s="4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256"/>
      <c r="AH38" s="128" t="e">
        <f t="shared" si="5"/>
        <v>#DIV/0!</v>
      </c>
      <c r="AI38" s="54" t="e">
        <f t="shared" si="5"/>
        <v>#DIV/0!</v>
      </c>
      <c r="AJ38" s="55" t="e">
        <f t="shared" si="5"/>
        <v>#DIV/0!</v>
      </c>
      <c r="AK38" s="344" t="e">
        <f>100*STDEV(D38,G38,J38,M38,P38,S38,V38,Y38,AB38,AE38)/$C$38</f>
        <v>#DIV/0!</v>
      </c>
      <c r="AL38" s="54" t="e">
        <f>100*STDEV(E38,H38,K38,N38,Q38,T38,W38,Z38,AC38,AF38)/$C$38</f>
        <v>#DIV/0!</v>
      </c>
      <c r="AM38" s="55" t="e">
        <f>100*STDEV(F38,I38,L38,O38,R38,U38,X38,AA38,AD38,AG38)/$C$38</f>
        <v>#DIV/0!</v>
      </c>
      <c r="AN38" s="44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256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256"/>
      <c r="BR38" s="127" t="e">
        <f t="shared" si="6"/>
        <v>#DIV/0!</v>
      </c>
      <c r="BS38" s="392" t="e">
        <f t="shared" si="6"/>
        <v>#DIV/0!</v>
      </c>
      <c r="BT38" s="345" t="e">
        <f t="shared" si="6"/>
        <v>#DIV/0!</v>
      </c>
      <c r="BU38" s="392" t="e">
        <f>100*STDEV(AN38,AQ38,AT38,AW38,AZ38,BC38,BF38,BI38,BL38,BO38)/$C$38</f>
        <v>#DIV/0!</v>
      </c>
      <c r="BV38" s="52" t="e">
        <f>100*STDEV(AO38,AR38,AU38,AX38,BA38,BD38,BG38,BJ38,BM38,BP38)/$C$38</f>
        <v>#DIV/0!</v>
      </c>
      <c r="BW38" s="345" t="e">
        <f>100*STDEV(AP38,AS38,AV38,AY38,BB38,BE38,BH38,BK38,BN38,BQ38)/$C$38</f>
        <v>#DIV/0!</v>
      </c>
      <c r="BX38" s="164" t="e">
        <f t="shared" si="7"/>
        <v>#DIV/0!</v>
      </c>
      <c r="BY38" s="165" t="e">
        <f t="shared" si="0"/>
        <v>#DIV/0!</v>
      </c>
      <c r="BZ38" s="166" t="e">
        <f t="shared" si="1"/>
        <v>#DIV/0!</v>
      </c>
      <c r="CA38" s="164" t="e">
        <f t="shared" si="2"/>
        <v>#DIV/0!</v>
      </c>
      <c r="CB38" s="165" t="e">
        <f t="shared" si="3"/>
        <v>#DIV/0!</v>
      </c>
      <c r="CC38" s="166" t="e">
        <f t="shared" si="4"/>
        <v>#DIV/0!</v>
      </c>
    </row>
    <row r="39" spans="2:81" ht="15" customHeight="1" thickBot="1">
      <c r="B39" s="50">
        <v>35</v>
      </c>
      <c r="C39" s="48">
        <v>0.56000000000000005</v>
      </c>
      <c r="D39" s="4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256"/>
      <c r="AH39" s="128" t="e">
        <f t="shared" si="5"/>
        <v>#DIV/0!</v>
      </c>
      <c r="AI39" s="54" t="e">
        <f t="shared" si="5"/>
        <v>#DIV/0!</v>
      </c>
      <c r="AJ39" s="55" t="e">
        <f t="shared" si="5"/>
        <v>#DIV/0!</v>
      </c>
      <c r="AK39" s="344" t="e">
        <f>100*STDEV(D39,G39,J39,M39,P39,S39,V39,Y39,AB39,AE39)/$C$39</f>
        <v>#DIV/0!</v>
      </c>
      <c r="AL39" s="54" t="e">
        <f>100*STDEV(E39,H39,K39,N39,Q39,T39,W39,Z39,AC39,AF39)/$C$39</f>
        <v>#DIV/0!</v>
      </c>
      <c r="AM39" s="55" t="e">
        <f>100*STDEV(F39,I39,L39,O39,R39,U39,X39,AA39,AD39,AG39)/$C$39</f>
        <v>#DIV/0!</v>
      </c>
      <c r="AN39" s="44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256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256"/>
      <c r="BR39" s="127" t="e">
        <f t="shared" si="6"/>
        <v>#DIV/0!</v>
      </c>
      <c r="BS39" s="392" t="e">
        <f t="shared" si="6"/>
        <v>#DIV/0!</v>
      </c>
      <c r="BT39" s="345" t="e">
        <f t="shared" si="6"/>
        <v>#DIV/0!</v>
      </c>
      <c r="BU39" s="392" t="e">
        <f>100*STDEV(AN39,AQ39,AT39,AW39,AZ39,BC39,BF39,BI39,BL39,BO39)/$C$39</f>
        <v>#DIV/0!</v>
      </c>
      <c r="BV39" s="52" t="e">
        <f>100*STDEV(AO39,AR39,AU39,AX39,BA39,BD39,BG39,BJ39,BM39,BP39)/$C$39</f>
        <v>#DIV/0!</v>
      </c>
      <c r="BW39" s="345" t="e">
        <f>100*STDEV(AP39,AS39,AV39,AY39,BB39,BE39,BH39,BK39,BN39,BQ39)/$C$39</f>
        <v>#DIV/0!</v>
      </c>
      <c r="BX39" s="164" t="e">
        <f t="shared" si="7"/>
        <v>#DIV/0!</v>
      </c>
      <c r="BY39" s="165" t="e">
        <f t="shared" si="0"/>
        <v>#DIV/0!</v>
      </c>
      <c r="BZ39" s="166" t="e">
        <f t="shared" si="1"/>
        <v>#DIV/0!</v>
      </c>
      <c r="CA39" s="164" t="e">
        <f t="shared" si="2"/>
        <v>#DIV/0!</v>
      </c>
      <c r="CB39" s="165" t="e">
        <f t="shared" si="3"/>
        <v>#DIV/0!</v>
      </c>
      <c r="CC39" s="166" t="e">
        <f t="shared" si="4"/>
        <v>#DIV/0!</v>
      </c>
    </row>
    <row r="40" spans="2:81" ht="15" customHeight="1" thickBot="1">
      <c r="B40" s="50">
        <v>36</v>
      </c>
      <c r="C40" s="48">
        <v>0.44400000000000001</v>
      </c>
      <c r="D40" s="4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256"/>
      <c r="AH40" s="128" t="e">
        <f t="shared" si="5"/>
        <v>#DIV/0!</v>
      </c>
      <c r="AI40" s="54" t="e">
        <f t="shared" si="5"/>
        <v>#DIV/0!</v>
      </c>
      <c r="AJ40" s="55" t="e">
        <f t="shared" si="5"/>
        <v>#DIV/0!</v>
      </c>
      <c r="AK40" s="344" t="e">
        <f>100*STDEV(D40,G40,J40,M40,P40,S40,V40,Y40,AB40,AE40)/$C$40</f>
        <v>#DIV/0!</v>
      </c>
      <c r="AL40" s="54" t="e">
        <f>100*STDEV(E40,H40,K40,N40,Q40,T40,W40,Z40,AC40,AF40)/$C$40</f>
        <v>#DIV/0!</v>
      </c>
      <c r="AM40" s="55" t="e">
        <f>100*STDEV(F40,I40,L40,O40,R40,U40,X40,AA40,AD40,AG40)/$C$40</f>
        <v>#DIV/0!</v>
      </c>
      <c r="AN40" s="44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256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256"/>
      <c r="BR40" s="127" t="e">
        <f t="shared" si="6"/>
        <v>#DIV/0!</v>
      </c>
      <c r="BS40" s="392" t="e">
        <f t="shared" si="6"/>
        <v>#DIV/0!</v>
      </c>
      <c r="BT40" s="345" t="e">
        <f t="shared" si="6"/>
        <v>#DIV/0!</v>
      </c>
      <c r="BU40" s="392" t="e">
        <f>100*STDEV(AN40,AQ40,AT40,AW40,AZ40,BC40,BF40,BI40,BL40,BO40)/$C$40</f>
        <v>#DIV/0!</v>
      </c>
      <c r="BV40" s="52" t="e">
        <f>100*STDEV(AO40,AR40,AU40,AX40,BA40,BD40,BG40,BJ40,BM40,BP40)/$C$40</f>
        <v>#DIV/0!</v>
      </c>
      <c r="BW40" s="345" t="e">
        <f>100*STDEV(AP40,AS40,AV40,AY40,BB40,BE40,BH40,BK40,BN40,BQ40)/$C$40</f>
        <v>#DIV/0!</v>
      </c>
      <c r="BX40" s="164" t="e">
        <f t="shared" si="7"/>
        <v>#DIV/0!</v>
      </c>
      <c r="BY40" s="165" t="e">
        <f t="shared" si="0"/>
        <v>#DIV/0!</v>
      </c>
      <c r="BZ40" s="166" t="e">
        <f t="shared" si="1"/>
        <v>#DIV/0!</v>
      </c>
      <c r="CA40" s="164" t="e">
        <f t="shared" si="2"/>
        <v>#DIV/0!</v>
      </c>
      <c r="CB40" s="165" t="e">
        <f t="shared" si="3"/>
        <v>#DIV/0!</v>
      </c>
      <c r="CC40" s="166" t="e">
        <f t="shared" si="4"/>
        <v>#DIV/0!</v>
      </c>
    </row>
    <row r="41" spans="2:81" ht="15" customHeight="1" thickBot="1">
      <c r="B41" s="50">
        <v>37</v>
      </c>
      <c r="C41" s="48">
        <v>0.52800000000000002</v>
      </c>
      <c r="D41" s="4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256"/>
      <c r="AH41" s="128" t="e">
        <f t="shared" si="5"/>
        <v>#DIV/0!</v>
      </c>
      <c r="AI41" s="54" t="e">
        <f t="shared" si="5"/>
        <v>#DIV/0!</v>
      </c>
      <c r="AJ41" s="55" t="e">
        <f t="shared" si="5"/>
        <v>#DIV/0!</v>
      </c>
      <c r="AK41" s="344" t="e">
        <f>100*STDEV(D41,G41,J41,M41,P41,S41,V41,Y41,AB41,AE41)/$C$41</f>
        <v>#DIV/0!</v>
      </c>
      <c r="AL41" s="54" t="e">
        <f>100*STDEV(E41,H41,K41,N41,Q41,T41,W41,Z41,AC41,AF41)/$C$41</f>
        <v>#DIV/0!</v>
      </c>
      <c r="AM41" s="55" t="e">
        <f>100*STDEV(F41,I41,L41,O41,R41,U41,X41,AA41,AD41,AG41)/$C$41</f>
        <v>#DIV/0!</v>
      </c>
      <c r="AN41" s="44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256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256"/>
      <c r="BR41" s="127" t="e">
        <f t="shared" si="6"/>
        <v>#DIV/0!</v>
      </c>
      <c r="BS41" s="392" t="e">
        <f t="shared" si="6"/>
        <v>#DIV/0!</v>
      </c>
      <c r="BT41" s="345" t="e">
        <f t="shared" si="6"/>
        <v>#DIV/0!</v>
      </c>
      <c r="BU41" s="392" t="e">
        <f>100*STDEV(AN41,AQ41,AT41,AW41,AZ41,BC41,BF41,BI41,BL41,BO41)/$C$41</f>
        <v>#DIV/0!</v>
      </c>
      <c r="BV41" s="52" t="e">
        <f>100*STDEV(AO41,AR41,AU41,AX41,BA41,BD41,BG41,BJ41,BM41,BP41)/$C$41</f>
        <v>#DIV/0!</v>
      </c>
      <c r="BW41" s="345" t="e">
        <f>100*STDEV(AP41,AS41,AV41,AY41,BB41,BE41,BH41,BK41,BN41,BQ41)/$C$41</f>
        <v>#DIV/0!</v>
      </c>
      <c r="BX41" s="164" t="e">
        <f t="shared" si="7"/>
        <v>#DIV/0!</v>
      </c>
      <c r="BY41" s="165" t="e">
        <f t="shared" si="0"/>
        <v>#DIV/0!</v>
      </c>
      <c r="BZ41" s="166" t="e">
        <f t="shared" si="1"/>
        <v>#DIV/0!</v>
      </c>
      <c r="CA41" s="164" t="e">
        <f t="shared" si="2"/>
        <v>#DIV/0!</v>
      </c>
      <c r="CB41" s="165" t="e">
        <f t="shared" si="3"/>
        <v>#DIV/0!</v>
      </c>
      <c r="CC41" s="166" t="e">
        <f t="shared" si="4"/>
        <v>#DIV/0!</v>
      </c>
    </row>
    <row r="42" spans="2:81" ht="15" customHeight="1" thickBot="1">
      <c r="B42" s="50">
        <v>38</v>
      </c>
      <c r="C42" s="48">
        <v>0.42199999999999999</v>
      </c>
      <c r="D42" s="4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256"/>
      <c r="AH42" s="128" t="e">
        <f t="shared" si="5"/>
        <v>#DIV/0!</v>
      </c>
      <c r="AI42" s="54" t="e">
        <f t="shared" si="5"/>
        <v>#DIV/0!</v>
      </c>
      <c r="AJ42" s="55" t="e">
        <f t="shared" si="5"/>
        <v>#DIV/0!</v>
      </c>
      <c r="AK42" s="344" t="e">
        <f>100*STDEV(D42,G42,J42,M42,P42,S42,V42,Y42,AB42,AE42)/$C$42</f>
        <v>#DIV/0!</v>
      </c>
      <c r="AL42" s="54" t="e">
        <f>100*STDEV(E42,H42,K42,N42,Q42,T42,W42,Z42,AC42,AF42)/$C$42</f>
        <v>#DIV/0!</v>
      </c>
      <c r="AM42" s="55" t="e">
        <f>100*STDEV(F42,I42,L42,O42,R42,U42,X42,AA42,AD42,AG42)/$C$42</f>
        <v>#DIV/0!</v>
      </c>
      <c r="AN42" s="44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256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256"/>
      <c r="BR42" s="127" t="e">
        <f t="shared" si="6"/>
        <v>#DIV/0!</v>
      </c>
      <c r="BS42" s="392" t="e">
        <f t="shared" si="6"/>
        <v>#DIV/0!</v>
      </c>
      <c r="BT42" s="345" t="e">
        <f t="shared" si="6"/>
        <v>#DIV/0!</v>
      </c>
      <c r="BU42" s="392" t="e">
        <f>100*STDEV(AN42,AQ42,AT42,AW42,AZ42,BC42,BF42,BI42,BL42,BO42)/$C$42</f>
        <v>#DIV/0!</v>
      </c>
      <c r="BV42" s="52" t="e">
        <f>100*STDEV(AO42,AR42,AU42,AX42,BA42,BD42,BG42,BJ42,BM42,BP42)/$C$42</f>
        <v>#DIV/0!</v>
      </c>
      <c r="BW42" s="345" t="e">
        <f>100*STDEV(AP42,AS42,AV42,AY42,BB42,BE42,BH42,BK42,BN42,BQ42)/$C$42</f>
        <v>#DIV/0!</v>
      </c>
      <c r="BX42" s="164" t="e">
        <f t="shared" si="7"/>
        <v>#DIV/0!</v>
      </c>
      <c r="BY42" s="165" t="e">
        <f t="shared" si="0"/>
        <v>#DIV/0!</v>
      </c>
      <c r="BZ42" s="166" t="e">
        <f t="shared" si="1"/>
        <v>#DIV/0!</v>
      </c>
      <c r="CA42" s="164" t="e">
        <f t="shared" si="2"/>
        <v>#DIV/0!</v>
      </c>
      <c r="CB42" s="165" t="e">
        <f t="shared" si="3"/>
        <v>#DIV/0!</v>
      </c>
      <c r="CC42" s="166" t="e">
        <f t="shared" si="4"/>
        <v>#DIV/0!</v>
      </c>
    </row>
    <row r="43" spans="2:81" ht="15" customHeight="1" thickBot="1">
      <c r="B43" s="50">
        <v>39</v>
      </c>
      <c r="C43" s="48">
        <v>0.502</v>
      </c>
      <c r="D43" s="4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256"/>
      <c r="AH43" s="128" t="e">
        <f t="shared" si="5"/>
        <v>#DIV/0!</v>
      </c>
      <c r="AI43" s="54" t="e">
        <f t="shared" si="5"/>
        <v>#DIV/0!</v>
      </c>
      <c r="AJ43" s="55" t="e">
        <f t="shared" si="5"/>
        <v>#DIV/0!</v>
      </c>
      <c r="AK43" s="344" t="e">
        <f>100*STDEV(D43,G43,J43,M43,P43,S43,V43,Y43,AB43,AE43)/$C$43</f>
        <v>#DIV/0!</v>
      </c>
      <c r="AL43" s="54" t="e">
        <f>100*STDEV(E43,H43,K43,N43,Q43,T43,W43,Z43,AC43,AF43)/$C$43</f>
        <v>#DIV/0!</v>
      </c>
      <c r="AM43" s="55" t="e">
        <f>100*STDEV(F43,I43,L43,O43,R43,U43,X43,AA43,AD43,AG43)/$C$43</f>
        <v>#DIV/0!</v>
      </c>
      <c r="AN43" s="44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256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256"/>
      <c r="BR43" s="127" t="e">
        <f t="shared" si="6"/>
        <v>#DIV/0!</v>
      </c>
      <c r="BS43" s="392" t="e">
        <f t="shared" si="6"/>
        <v>#DIV/0!</v>
      </c>
      <c r="BT43" s="345" t="e">
        <f t="shared" si="6"/>
        <v>#DIV/0!</v>
      </c>
      <c r="BU43" s="392" t="e">
        <f>100*STDEV(AN43,AQ43,AT43,AW43,AZ43,BC43,BF43,BI43,BL43,BO43)/$C$43</f>
        <v>#DIV/0!</v>
      </c>
      <c r="BV43" s="52" t="e">
        <f>100*STDEV(AO43,AR43,AU43,AX43,BA43,BD43,BG43,BJ43,BM43,BP43)/$C$43</f>
        <v>#DIV/0!</v>
      </c>
      <c r="BW43" s="345" t="e">
        <f>100*STDEV(AP43,AS43,AV43,AY43,BB43,BE43,BH43,BK43,BN43,BQ43)/$C$43</f>
        <v>#DIV/0!</v>
      </c>
      <c r="BX43" s="164" t="e">
        <f t="shared" si="7"/>
        <v>#DIV/0!</v>
      </c>
      <c r="BY43" s="165" t="e">
        <f t="shared" si="0"/>
        <v>#DIV/0!</v>
      </c>
      <c r="BZ43" s="166" t="e">
        <f t="shared" si="1"/>
        <v>#DIV/0!</v>
      </c>
      <c r="CA43" s="164" t="e">
        <f t="shared" si="2"/>
        <v>#DIV/0!</v>
      </c>
      <c r="CB43" s="165" t="e">
        <f t="shared" si="3"/>
        <v>#DIV/0!</v>
      </c>
      <c r="CC43" s="166" t="e">
        <f t="shared" si="4"/>
        <v>#DIV/0!</v>
      </c>
    </row>
    <row r="44" spans="2:81" ht="15" customHeight="1" thickBot="1">
      <c r="B44" s="50">
        <v>40</v>
      </c>
      <c r="C44" s="48">
        <v>0.4</v>
      </c>
      <c r="D44" s="4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256"/>
      <c r="AH44" s="128" t="e">
        <f t="shared" si="5"/>
        <v>#DIV/0!</v>
      </c>
      <c r="AI44" s="54" t="e">
        <f t="shared" si="5"/>
        <v>#DIV/0!</v>
      </c>
      <c r="AJ44" s="55" t="e">
        <f t="shared" si="5"/>
        <v>#DIV/0!</v>
      </c>
      <c r="AK44" s="344" t="e">
        <f>100*STDEV(D44,G44,J44,M44,P44,S44,V44,Y44,AB44,AE44)/$C$44</f>
        <v>#DIV/0!</v>
      </c>
      <c r="AL44" s="54" t="e">
        <f>100*STDEV(E44,H44,K44,N44,Q44,T44,W44,Z44,AC44,AF44)/$C$44</f>
        <v>#DIV/0!</v>
      </c>
      <c r="AM44" s="55" t="e">
        <f>100*STDEV(F44,I44,L44,O44,R44,U44,X44,AA44,AD44,AG44)/$C$44</f>
        <v>#DIV/0!</v>
      </c>
      <c r="AN44" s="44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256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256"/>
      <c r="BR44" s="127" t="e">
        <f t="shared" si="6"/>
        <v>#DIV/0!</v>
      </c>
      <c r="BS44" s="392" t="e">
        <f t="shared" si="6"/>
        <v>#DIV/0!</v>
      </c>
      <c r="BT44" s="345" t="e">
        <f t="shared" si="6"/>
        <v>#DIV/0!</v>
      </c>
      <c r="BU44" s="392" t="e">
        <f>100*STDEV(AN44,AQ44,AT44,AW44,AZ44,BC44,BF44,BI44,BL44,BO44)/$C$44</f>
        <v>#DIV/0!</v>
      </c>
      <c r="BV44" s="52" t="e">
        <f>100*STDEV(AO44,AR44,AU44,AX44,BA44,BD44,BG44,BJ44,BM44,BP44)/$C$44</f>
        <v>#DIV/0!</v>
      </c>
      <c r="BW44" s="345" t="e">
        <f>100*STDEV(AP44,AS44,AV44,AY44,BB44,BE44,BH44,BK44,BN44,BQ44)/$C$44</f>
        <v>#DIV/0!</v>
      </c>
      <c r="BX44" s="164" t="e">
        <f t="shared" si="7"/>
        <v>#DIV/0!</v>
      </c>
      <c r="BY44" s="165" t="e">
        <f t="shared" si="0"/>
        <v>#DIV/0!</v>
      </c>
      <c r="BZ44" s="166" t="e">
        <f t="shared" si="1"/>
        <v>#DIV/0!</v>
      </c>
      <c r="CA44" s="164" t="e">
        <f t="shared" si="2"/>
        <v>#DIV/0!</v>
      </c>
      <c r="CB44" s="165" t="e">
        <f t="shared" si="3"/>
        <v>#DIV/0!</v>
      </c>
      <c r="CC44" s="166" t="e">
        <f t="shared" si="4"/>
        <v>#DIV/0!</v>
      </c>
    </row>
    <row r="45" spans="2:81" ht="15" customHeight="1" thickBot="1">
      <c r="B45" s="50">
        <v>41</v>
      </c>
      <c r="C45" s="62">
        <v>0.2</v>
      </c>
      <c r="D45" s="4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256"/>
      <c r="AH45" s="128" t="e">
        <f t="shared" si="5"/>
        <v>#DIV/0!</v>
      </c>
      <c r="AI45" s="54" t="e">
        <f t="shared" si="5"/>
        <v>#DIV/0!</v>
      </c>
      <c r="AJ45" s="55" t="e">
        <f t="shared" si="5"/>
        <v>#DIV/0!</v>
      </c>
      <c r="AK45" s="344" t="e">
        <f>100*STDEV(D45,G45,J45,M45,P45,S45,V45,Y45,AB45,AE45)/$C$45</f>
        <v>#DIV/0!</v>
      </c>
      <c r="AL45" s="54" t="e">
        <f>100*STDEV(E45,H45,K45,N45,Q45,T45,W45,Z45,AC45,AF45)/$C$45</f>
        <v>#DIV/0!</v>
      </c>
      <c r="AM45" s="55" t="e">
        <f>100*STDEV(F45,I45,L45,O45,R45,U45,X45,AA45,AD45,AG45)/$C$45</f>
        <v>#DIV/0!</v>
      </c>
      <c r="AN45" s="44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256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256"/>
      <c r="BR45" s="127" t="e">
        <f t="shared" si="6"/>
        <v>#DIV/0!</v>
      </c>
      <c r="BS45" s="392" t="e">
        <f t="shared" si="6"/>
        <v>#DIV/0!</v>
      </c>
      <c r="BT45" s="345" t="e">
        <f t="shared" si="6"/>
        <v>#DIV/0!</v>
      </c>
      <c r="BU45" s="392" t="e">
        <f>100*STDEV(AN45,AQ45,AT45,AW45,AZ45,BC45,BF45,BI45,BL45,BO45)/$C$45</f>
        <v>#DIV/0!</v>
      </c>
      <c r="BV45" s="52" t="e">
        <f>100*STDEV(AO45,AR45,AU45,AX45,BA45,BD45,BG45,BJ45,BM45,BP45)/$C$45</f>
        <v>#DIV/0!</v>
      </c>
      <c r="BW45" s="345" t="e">
        <f>100*STDEV(AP45,AS45,AV45,AY45,BB45,BE45,BH45,BK45,BN45,BQ45)/$C$45</f>
        <v>#DIV/0!</v>
      </c>
      <c r="BX45" s="164" t="e">
        <f t="shared" si="7"/>
        <v>#DIV/0!</v>
      </c>
      <c r="BY45" s="165" t="e">
        <f t="shared" si="0"/>
        <v>#DIV/0!</v>
      </c>
      <c r="BZ45" s="166" t="e">
        <f t="shared" si="1"/>
        <v>#DIV/0!</v>
      </c>
      <c r="CA45" s="164" t="e">
        <f t="shared" si="2"/>
        <v>#DIV/0!</v>
      </c>
      <c r="CB45" s="165" t="e">
        <f t="shared" si="3"/>
        <v>#DIV/0!</v>
      </c>
      <c r="CC45" s="166" t="e">
        <f t="shared" si="4"/>
        <v>#DIV/0!</v>
      </c>
    </row>
    <row r="46" spans="2:81" ht="15" customHeight="1" thickBot="1">
      <c r="B46" s="50">
        <v>42</v>
      </c>
      <c r="C46" s="62">
        <v>0.2</v>
      </c>
      <c r="D46" s="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256"/>
      <c r="AH46" s="128" t="e">
        <f t="shared" si="5"/>
        <v>#DIV/0!</v>
      </c>
      <c r="AI46" s="54" t="e">
        <f t="shared" si="5"/>
        <v>#DIV/0!</v>
      </c>
      <c r="AJ46" s="55" t="e">
        <f t="shared" si="5"/>
        <v>#DIV/0!</v>
      </c>
      <c r="AK46" s="344" t="e">
        <f>100*STDEV(D46,G46,J46,M46,P46,S46,V46,Y46,AB46,AE46)/$C$46</f>
        <v>#DIV/0!</v>
      </c>
      <c r="AL46" s="54" t="e">
        <f>100*STDEV(E46,H46,K46,N46,Q46,T46,W46,Z46,AC46,AF46)/$C$46</f>
        <v>#DIV/0!</v>
      </c>
      <c r="AM46" s="55" t="e">
        <f>100*STDEV(F46,I46,L46,O46,R46,U46,X46,AA46,AD46,AG46)/$C$46</f>
        <v>#DIV/0!</v>
      </c>
      <c r="AN46" s="44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256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256"/>
      <c r="BR46" s="127" t="e">
        <f t="shared" si="6"/>
        <v>#DIV/0!</v>
      </c>
      <c r="BS46" s="392" t="e">
        <f t="shared" si="6"/>
        <v>#DIV/0!</v>
      </c>
      <c r="BT46" s="345" t="e">
        <f t="shared" si="6"/>
        <v>#DIV/0!</v>
      </c>
      <c r="BU46" s="392" t="e">
        <f>100*STDEV(AN46,AQ46,AT46,AW46,AZ46,BC46,BF46,BI46,BL46,BO46)/$C$46</f>
        <v>#DIV/0!</v>
      </c>
      <c r="BV46" s="52" t="e">
        <f>100*STDEV(AO46,AR46,AU46,AX46,BA46,BD46,BG46,BJ46,BM46,BP46)/$C$46</f>
        <v>#DIV/0!</v>
      </c>
      <c r="BW46" s="345" t="e">
        <f>100*STDEV(AP46,AS46,AV46,AY46,BB46,BE46,BH46,BK46,BN46,BQ46)/$C$46</f>
        <v>#DIV/0!</v>
      </c>
      <c r="BX46" s="164" t="e">
        <f t="shared" si="7"/>
        <v>#DIV/0!</v>
      </c>
      <c r="BY46" s="165" t="e">
        <f t="shared" si="0"/>
        <v>#DIV/0!</v>
      </c>
      <c r="BZ46" s="166" t="e">
        <f t="shared" si="1"/>
        <v>#DIV/0!</v>
      </c>
      <c r="CA46" s="164" t="e">
        <f t="shared" si="2"/>
        <v>#DIV/0!</v>
      </c>
      <c r="CB46" s="165" t="e">
        <f t="shared" si="3"/>
        <v>#DIV/0!</v>
      </c>
      <c r="CC46" s="166" t="e">
        <f t="shared" si="4"/>
        <v>#DIV/0!</v>
      </c>
    </row>
    <row r="47" spans="2:81" ht="15" customHeight="1" thickBot="1">
      <c r="B47" s="50">
        <v>43</v>
      </c>
      <c r="C47" s="62">
        <v>0.2</v>
      </c>
      <c r="D47" s="4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256"/>
      <c r="AH47" s="128" t="e">
        <f t="shared" si="5"/>
        <v>#DIV/0!</v>
      </c>
      <c r="AI47" s="54" t="e">
        <f t="shared" si="5"/>
        <v>#DIV/0!</v>
      </c>
      <c r="AJ47" s="55" t="e">
        <f t="shared" si="5"/>
        <v>#DIV/0!</v>
      </c>
      <c r="AK47" s="344" t="e">
        <f>100*STDEV(D47,G47,J47,M47,P47,S47,V47,Y47,AB47,AE47)/$C$47</f>
        <v>#DIV/0!</v>
      </c>
      <c r="AL47" s="54" t="e">
        <f>100*STDEV(E47,H47,K47,N47,Q47,T47,W47,Z47,AC47,AF47)/$C$47</f>
        <v>#DIV/0!</v>
      </c>
      <c r="AM47" s="55" t="e">
        <f>100*STDEV(F47,I47,L47,O47,R47,U47,X47,AA47,AD47,AG47)/$C$47</f>
        <v>#DIV/0!</v>
      </c>
      <c r="AN47" s="44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256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256"/>
      <c r="BR47" s="127" t="e">
        <f t="shared" si="6"/>
        <v>#DIV/0!</v>
      </c>
      <c r="BS47" s="392" t="e">
        <f t="shared" si="6"/>
        <v>#DIV/0!</v>
      </c>
      <c r="BT47" s="345" t="e">
        <f t="shared" si="6"/>
        <v>#DIV/0!</v>
      </c>
      <c r="BU47" s="392" t="e">
        <f>100*STDEV(AN47,AQ47,AT47,AW47,AZ47,BC47,BF47,BI47,BL47,BO47)/$C$47</f>
        <v>#DIV/0!</v>
      </c>
      <c r="BV47" s="52" t="e">
        <f>100*STDEV(AO47,AR47,AU47,AX47,BA47,BD47,BG47,BJ47,BM47,BP47)/$C$47</f>
        <v>#DIV/0!</v>
      </c>
      <c r="BW47" s="345" t="e">
        <f>100*STDEV(AP47,AS47,AV47,AY47,BB47,BE47,BH47,BK47,BN47,BQ47)/$C$47</f>
        <v>#DIV/0!</v>
      </c>
      <c r="BX47" s="164" t="e">
        <f t="shared" si="7"/>
        <v>#DIV/0!</v>
      </c>
      <c r="BY47" s="165" t="e">
        <f t="shared" si="0"/>
        <v>#DIV/0!</v>
      </c>
      <c r="BZ47" s="166" t="e">
        <f t="shared" si="1"/>
        <v>#DIV/0!</v>
      </c>
      <c r="CA47" s="164" t="e">
        <f t="shared" si="2"/>
        <v>#DIV/0!</v>
      </c>
      <c r="CB47" s="165" t="e">
        <f t="shared" si="3"/>
        <v>#DIV/0!</v>
      </c>
      <c r="CC47" s="166" t="e">
        <f t="shared" si="4"/>
        <v>#DIV/0!</v>
      </c>
    </row>
    <row r="48" spans="2:81" ht="15" customHeight="1" thickBot="1">
      <c r="B48" s="50">
        <v>44</v>
      </c>
      <c r="C48" s="62">
        <v>0.2</v>
      </c>
      <c r="D48" s="4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256"/>
      <c r="AH48" s="128" t="e">
        <f t="shared" si="5"/>
        <v>#DIV/0!</v>
      </c>
      <c r="AI48" s="54" t="e">
        <f t="shared" si="5"/>
        <v>#DIV/0!</v>
      </c>
      <c r="AJ48" s="55" t="e">
        <f t="shared" si="5"/>
        <v>#DIV/0!</v>
      </c>
      <c r="AK48" s="344" t="e">
        <f>100*STDEV(D48,G48,J48,M48,P48,S48,V48,Y48,AB48,AE48)/$C$48</f>
        <v>#DIV/0!</v>
      </c>
      <c r="AL48" s="54" t="e">
        <f>100*STDEV(E48,H48,K48,N48,Q48,T48,W48,Z48,AC48,AF48)/$C$48</f>
        <v>#DIV/0!</v>
      </c>
      <c r="AM48" s="55" t="e">
        <f>100*STDEV(F48,I48,L48,O48,R48,U48,X48,AA48,AD48,AG48)/$C$48</f>
        <v>#DIV/0!</v>
      </c>
      <c r="AN48" s="44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256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256"/>
      <c r="BR48" s="127" t="e">
        <f t="shared" si="6"/>
        <v>#DIV/0!</v>
      </c>
      <c r="BS48" s="392" t="e">
        <f t="shared" si="6"/>
        <v>#DIV/0!</v>
      </c>
      <c r="BT48" s="345" t="e">
        <f t="shared" si="6"/>
        <v>#DIV/0!</v>
      </c>
      <c r="BU48" s="392" t="e">
        <f>100*STDEV(AN48,AQ48,AT48,AW48,AZ48,BC48,BF48,BI48,BL48,BO48)/$C$48</f>
        <v>#DIV/0!</v>
      </c>
      <c r="BV48" s="52" t="e">
        <f>100*STDEV(AO48,AR48,AU48,AX48,BA48,BD48,BG48,BJ48,BM48,BP48)/$C$48</f>
        <v>#DIV/0!</v>
      </c>
      <c r="BW48" s="345" t="e">
        <f>100*STDEV(AP48,AS48,AV48,AY48,BB48,BE48,BH48,BK48,BN48,BQ48)/$C$48</f>
        <v>#DIV/0!</v>
      </c>
      <c r="BX48" s="164" t="e">
        <f t="shared" si="7"/>
        <v>#DIV/0!</v>
      </c>
      <c r="BY48" s="165" t="e">
        <f t="shared" si="0"/>
        <v>#DIV/0!</v>
      </c>
      <c r="BZ48" s="166" t="e">
        <f t="shared" si="1"/>
        <v>#DIV/0!</v>
      </c>
      <c r="CA48" s="164" t="e">
        <f t="shared" si="2"/>
        <v>#DIV/0!</v>
      </c>
      <c r="CB48" s="165" t="e">
        <f t="shared" si="3"/>
        <v>#DIV/0!</v>
      </c>
      <c r="CC48" s="166" t="e">
        <f t="shared" si="4"/>
        <v>#DIV/0!</v>
      </c>
    </row>
    <row r="49" spans="2:81" ht="15" customHeight="1" thickBot="1">
      <c r="B49" s="50">
        <v>45</v>
      </c>
      <c r="C49" s="62">
        <v>0.2</v>
      </c>
      <c r="D49" s="4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256"/>
      <c r="AH49" s="128" t="e">
        <f t="shared" si="5"/>
        <v>#DIV/0!</v>
      </c>
      <c r="AI49" s="54" t="e">
        <f t="shared" si="5"/>
        <v>#DIV/0!</v>
      </c>
      <c r="AJ49" s="55" t="e">
        <f t="shared" si="5"/>
        <v>#DIV/0!</v>
      </c>
      <c r="AK49" s="344" t="e">
        <f>100*STDEV(D49,G49,J49,M49,P49,S49,V49,Y49,AB49,AE49)/$C$49</f>
        <v>#DIV/0!</v>
      </c>
      <c r="AL49" s="54" t="e">
        <f>100*STDEV(E49,H49,K49,N49,Q49,T49,W49,Z49,AC49,AF49)/$C$49</f>
        <v>#DIV/0!</v>
      </c>
      <c r="AM49" s="55" t="e">
        <f>100*STDEV(F49,I49,L49,O49,R49,U49,X49,AA49,AD49,AG49)/$C$49</f>
        <v>#DIV/0!</v>
      </c>
      <c r="AN49" s="44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256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256"/>
      <c r="BR49" s="127" t="e">
        <f t="shared" si="6"/>
        <v>#DIV/0!</v>
      </c>
      <c r="BS49" s="392" t="e">
        <f t="shared" si="6"/>
        <v>#DIV/0!</v>
      </c>
      <c r="BT49" s="345" t="e">
        <f t="shared" si="6"/>
        <v>#DIV/0!</v>
      </c>
      <c r="BU49" s="392" t="e">
        <f>100*STDEV(AN49,AQ49,AT49,AW49,AZ49,BC49,BF49,BI49,BL49,BO49)/$C$49</f>
        <v>#DIV/0!</v>
      </c>
      <c r="BV49" s="52" t="e">
        <f>100*STDEV(AO49,AR49,AU49,AX49,BA49,BD49,BG49,BJ49,BM49,BP49)/$C$49</f>
        <v>#DIV/0!</v>
      </c>
      <c r="BW49" s="345" t="e">
        <f>100*STDEV(AP49,AS49,AV49,AY49,BB49,BE49,BH49,BK49,BN49,BQ49)/$C$49</f>
        <v>#DIV/0!</v>
      </c>
      <c r="BX49" s="164" t="e">
        <f t="shared" si="7"/>
        <v>#DIV/0!</v>
      </c>
      <c r="BY49" s="165" t="e">
        <f t="shared" si="0"/>
        <v>#DIV/0!</v>
      </c>
      <c r="BZ49" s="166" t="e">
        <f t="shared" si="1"/>
        <v>#DIV/0!</v>
      </c>
      <c r="CA49" s="164" t="e">
        <f t="shared" si="2"/>
        <v>#DIV/0!</v>
      </c>
      <c r="CB49" s="165" t="e">
        <f t="shared" si="3"/>
        <v>#DIV/0!</v>
      </c>
      <c r="CC49" s="166" t="e">
        <f t="shared" si="4"/>
        <v>#DIV/0!</v>
      </c>
    </row>
    <row r="50" spans="2:81" ht="15" customHeight="1" thickBot="1">
      <c r="B50" s="50">
        <v>46</v>
      </c>
      <c r="C50" s="62">
        <v>0.2</v>
      </c>
      <c r="D50" s="4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256"/>
      <c r="AH50" s="128" t="e">
        <f t="shared" si="5"/>
        <v>#DIV/0!</v>
      </c>
      <c r="AI50" s="54" t="e">
        <f t="shared" si="5"/>
        <v>#DIV/0!</v>
      </c>
      <c r="AJ50" s="55" t="e">
        <f t="shared" si="5"/>
        <v>#DIV/0!</v>
      </c>
      <c r="AK50" s="344" t="e">
        <f>100*STDEV(D50,G50,J50,M50,P50,S50,V50,Y50,AB50,AE50)/$C$50</f>
        <v>#DIV/0!</v>
      </c>
      <c r="AL50" s="54" t="e">
        <f>100*STDEV(E50,H50,K50,N50,Q50,T50,W50,Z50,AC50,AF50)/$C$50</f>
        <v>#DIV/0!</v>
      </c>
      <c r="AM50" s="55" t="e">
        <f>100*STDEV(F50,I50,L50,O50,R50,U50,X50,AA50,AD50,AG50)/$C$50</f>
        <v>#DIV/0!</v>
      </c>
      <c r="AN50" s="44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256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256"/>
      <c r="BR50" s="127" t="e">
        <f t="shared" si="6"/>
        <v>#DIV/0!</v>
      </c>
      <c r="BS50" s="392" t="e">
        <f t="shared" si="6"/>
        <v>#DIV/0!</v>
      </c>
      <c r="BT50" s="345" t="e">
        <f t="shared" si="6"/>
        <v>#DIV/0!</v>
      </c>
      <c r="BU50" s="392" t="e">
        <f>100*STDEV(AN50,AQ50,AT50,AW50,AZ50,BC50,BF50,BI50,BL50,BO50)/$C$50</f>
        <v>#DIV/0!</v>
      </c>
      <c r="BV50" s="52" t="e">
        <f>100*STDEV(AO50,AR50,AU50,AX50,BA50,BD50,BG50,BJ50,BM50,BP50)/$C$50</f>
        <v>#DIV/0!</v>
      </c>
      <c r="BW50" s="345" t="e">
        <f>100*STDEV(AP50,AS50,AV50,AY50,BB50,BE50,BH50,BK50,BN50,BQ50)/$C$50</f>
        <v>#DIV/0!</v>
      </c>
      <c r="BX50" s="164" t="e">
        <f t="shared" si="7"/>
        <v>#DIV/0!</v>
      </c>
      <c r="BY50" s="165" t="e">
        <f t="shared" si="0"/>
        <v>#DIV/0!</v>
      </c>
      <c r="BZ50" s="166" t="e">
        <f t="shared" si="1"/>
        <v>#DIV/0!</v>
      </c>
      <c r="CA50" s="164" t="e">
        <f t="shared" si="2"/>
        <v>#DIV/0!</v>
      </c>
      <c r="CB50" s="165" t="e">
        <f t="shared" si="3"/>
        <v>#DIV/0!</v>
      </c>
      <c r="CC50" s="166" t="e">
        <f t="shared" si="4"/>
        <v>#DIV/0!</v>
      </c>
    </row>
    <row r="51" spans="2:81" ht="15" customHeight="1" thickBot="1">
      <c r="B51" s="50">
        <v>47</v>
      </c>
      <c r="C51" s="62">
        <v>0.2</v>
      </c>
      <c r="D51" s="4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256"/>
      <c r="AH51" s="128" t="e">
        <f t="shared" si="5"/>
        <v>#DIV/0!</v>
      </c>
      <c r="AI51" s="54" t="e">
        <f t="shared" si="5"/>
        <v>#DIV/0!</v>
      </c>
      <c r="AJ51" s="55" t="e">
        <f t="shared" si="5"/>
        <v>#DIV/0!</v>
      </c>
      <c r="AK51" s="344" t="e">
        <f>100*STDEV(D51,G51,J51,M51,P51,S51,V51,Y51,AB51,AE51)/$C$51</f>
        <v>#DIV/0!</v>
      </c>
      <c r="AL51" s="54" t="e">
        <f>100*STDEV(E51,H51,K51,N51,Q51,T51,W51,Z51,AC51,AF51)/$C$51</f>
        <v>#DIV/0!</v>
      </c>
      <c r="AM51" s="55" t="e">
        <f>100*STDEV(F51,I51,L51,O51,R51,U51,X51,AA51,AD51,AG51)/$C$51</f>
        <v>#DIV/0!</v>
      </c>
      <c r="AN51" s="44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256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256"/>
      <c r="BR51" s="127" t="e">
        <f t="shared" si="6"/>
        <v>#DIV/0!</v>
      </c>
      <c r="BS51" s="392" t="e">
        <f t="shared" si="6"/>
        <v>#DIV/0!</v>
      </c>
      <c r="BT51" s="345" t="e">
        <f t="shared" si="6"/>
        <v>#DIV/0!</v>
      </c>
      <c r="BU51" s="392" t="e">
        <f>100*STDEV(AN51,AQ51,AT51,AW51,AZ51,BC51,BF51,BI51,BL51,BO51)/$C$51</f>
        <v>#DIV/0!</v>
      </c>
      <c r="BV51" s="52" t="e">
        <f>100*STDEV(AO51,AR51,AU51,AX51,BA51,BD51,BG51,BJ51,BM51,BP51)/$C$51</f>
        <v>#DIV/0!</v>
      </c>
      <c r="BW51" s="345" t="e">
        <f>100*STDEV(AP51,AS51,AV51,AY51,BB51,BE51,BH51,BK51,BN51,BQ51)/$C$51</f>
        <v>#DIV/0!</v>
      </c>
      <c r="BX51" s="164" t="e">
        <f t="shared" si="7"/>
        <v>#DIV/0!</v>
      </c>
      <c r="BY51" s="165" t="e">
        <f t="shared" si="0"/>
        <v>#DIV/0!</v>
      </c>
      <c r="BZ51" s="166" t="e">
        <f t="shared" si="1"/>
        <v>#DIV/0!</v>
      </c>
      <c r="CA51" s="164" t="e">
        <f t="shared" si="2"/>
        <v>#DIV/0!</v>
      </c>
      <c r="CB51" s="165" t="e">
        <f t="shared" si="3"/>
        <v>#DIV/0!</v>
      </c>
      <c r="CC51" s="166" t="e">
        <f t="shared" si="4"/>
        <v>#DIV/0!</v>
      </c>
    </row>
    <row r="52" spans="2:81" ht="15" customHeight="1" thickBot="1">
      <c r="B52" s="50">
        <v>48</v>
      </c>
      <c r="C52" s="62">
        <v>0.2</v>
      </c>
      <c r="D52" s="4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256"/>
      <c r="AH52" s="128" t="e">
        <f t="shared" si="5"/>
        <v>#DIV/0!</v>
      </c>
      <c r="AI52" s="54" t="e">
        <f t="shared" si="5"/>
        <v>#DIV/0!</v>
      </c>
      <c r="AJ52" s="55" t="e">
        <f t="shared" si="5"/>
        <v>#DIV/0!</v>
      </c>
      <c r="AK52" s="344" t="e">
        <f>100*STDEV(D52,G52,J52,M52,P52,S52,V52,Y52,AB52,AE52)/$C$52</f>
        <v>#DIV/0!</v>
      </c>
      <c r="AL52" s="54" t="e">
        <f>100*STDEV(E52,H52,K52,N52,Q52,T52,W52,Z52,AC52,AF52)/$C$52</f>
        <v>#DIV/0!</v>
      </c>
      <c r="AM52" s="55" t="e">
        <f>100*STDEV(F52,I52,L52,O52,R52,U52,X52,AA52,AD52,AG52)/$C$52</f>
        <v>#DIV/0!</v>
      </c>
      <c r="AN52" s="44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256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256"/>
      <c r="BR52" s="127" t="e">
        <f t="shared" si="6"/>
        <v>#DIV/0!</v>
      </c>
      <c r="BS52" s="392" t="e">
        <f t="shared" si="6"/>
        <v>#DIV/0!</v>
      </c>
      <c r="BT52" s="345" t="e">
        <f t="shared" si="6"/>
        <v>#DIV/0!</v>
      </c>
      <c r="BU52" s="392" t="e">
        <f>100*STDEV(AN52,AQ52,AT52,AW52,AZ52,BC52,BF52,BI52,BL52,BO52)/$C$52</f>
        <v>#DIV/0!</v>
      </c>
      <c r="BV52" s="52" t="e">
        <f>100*STDEV(AO52,AR52,AU52,AX52,BA52,BD52,BG52,BJ52,BM52,BP52)/$C$52</f>
        <v>#DIV/0!</v>
      </c>
      <c r="BW52" s="345" t="e">
        <f>100*STDEV(AP52,AS52,AV52,AY52,BB52,BE52,BH52,BK52,BN52,BQ52)/$C$52</f>
        <v>#DIV/0!</v>
      </c>
      <c r="BX52" s="164" t="e">
        <f t="shared" si="7"/>
        <v>#DIV/0!</v>
      </c>
      <c r="BY52" s="165" t="e">
        <f t="shared" si="0"/>
        <v>#DIV/0!</v>
      </c>
      <c r="BZ52" s="166" t="e">
        <f t="shared" si="1"/>
        <v>#DIV/0!</v>
      </c>
      <c r="CA52" s="164" t="e">
        <f t="shared" si="2"/>
        <v>#DIV/0!</v>
      </c>
      <c r="CB52" s="165" t="e">
        <f t="shared" si="3"/>
        <v>#DIV/0!</v>
      </c>
      <c r="CC52" s="166" t="e">
        <f t="shared" si="4"/>
        <v>#DIV/0!</v>
      </c>
    </row>
    <row r="53" spans="2:81" ht="15" customHeight="1" thickBot="1">
      <c r="B53" s="50">
        <v>49</v>
      </c>
      <c r="C53" s="62">
        <v>0.2</v>
      </c>
      <c r="D53" s="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256"/>
      <c r="AH53" s="128" t="e">
        <f t="shared" si="5"/>
        <v>#DIV/0!</v>
      </c>
      <c r="AI53" s="54" t="e">
        <f t="shared" si="5"/>
        <v>#DIV/0!</v>
      </c>
      <c r="AJ53" s="55" t="e">
        <f t="shared" si="5"/>
        <v>#DIV/0!</v>
      </c>
      <c r="AK53" s="344" t="e">
        <f>100*STDEV(D53,G53,J53,M53,P53,S53,V53,Y53,AB53,AE53)/$C$53</f>
        <v>#DIV/0!</v>
      </c>
      <c r="AL53" s="54" t="e">
        <f>100*STDEV(E53,H53,K53,N53,Q53,T53,W53,Z53,AC53,AF53)/$C$53</f>
        <v>#DIV/0!</v>
      </c>
      <c r="AM53" s="55" t="e">
        <f>100*STDEV(F53,I53,L53,O53,R53,U53,X53,AA53,AD53,AG53)/$C$53</f>
        <v>#DIV/0!</v>
      </c>
      <c r="AN53" s="44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256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256"/>
      <c r="BR53" s="127" t="e">
        <f t="shared" si="6"/>
        <v>#DIV/0!</v>
      </c>
      <c r="BS53" s="392" t="e">
        <f t="shared" si="6"/>
        <v>#DIV/0!</v>
      </c>
      <c r="BT53" s="345" t="e">
        <f t="shared" si="6"/>
        <v>#DIV/0!</v>
      </c>
      <c r="BU53" s="392" t="e">
        <f>100*STDEV(AN53,AQ53,AT53,AW53,AZ53,BC53,BF53,BI53,BL53,BO53)/$C$53</f>
        <v>#DIV/0!</v>
      </c>
      <c r="BV53" s="52" t="e">
        <f>100*STDEV(AO53,AR53,AU53,AX53,BA53,BD53,BG53,BJ53,BM53,BP53)/$C$53</f>
        <v>#DIV/0!</v>
      </c>
      <c r="BW53" s="345" t="e">
        <f>100*STDEV(AP53,AS53,AV53,AY53,BB53,BE53,BH53,BK53,BN53,BQ53)/$C$53</f>
        <v>#DIV/0!</v>
      </c>
      <c r="BX53" s="164" t="e">
        <f t="shared" si="7"/>
        <v>#DIV/0!</v>
      </c>
      <c r="BY53" s="165" t="e">
        <f t="shared" si="0"/>
        <v>#DIV/0!</v>
      </c>
      <c r="BZ53" s="166" t="e">
        <f t="shared" si="1"/>
        <v>#DIV/0!</v>
      </c>
      <c r="CA53" s="164" t="e">
        <f t="shared" si="2"/>
        <v>#DIV/0!</v>
      </c>
      <c r="CB53" s="165" t="e">
        <f t="shared" si="3"/>
        <v>#DIV/0!</v>
      </c>
      <c r="CC53" s="166" t="e">
        <f t="shared" si="4"/>
        <v>#DIV/0!</v>
      </c>
    </row>
    <row r="54" spans="2:81" ht="15" customHeight="1" thickBot="1">
      <c r="B54" s="51">
        <v>50</v>
      </c>
      <c r="C54" s="49">
        <v>0.2</v>
      </c>
      <c r="D54" s="15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257"/>
      <c r="AH54" s="129" t="e">
        <f t="shared" si="5"/>
        <v>#DIV/0!</v>
      </c>
      <c r="AI54" s="56" t="e">
        <f t="shared" si="5"/>
        <v>#DIV/0!</v>
      </c>
      <c r="AJ54" s="57" t="e">
        <f t="shared" si="5"/>
        <v>#DIV/0!</v>
      </c>
      <c r="AK54" s="393" t="e">
        <f>100*STDEV(D54,G54,J54,M54,P54,S54,V54,Y54,AB54,AE54)/$C$54</f>
        <v>#DIV/0!</v>
      </c>
      <c r="AL54" s="56" t="e">
        <f>100*STDEV(E54,H54,K54,N54,Q54,T54,W54,Z54,AC54,AF54)/$C$54</f>
        <v>#DIV/0!</v>
      </c>
      <c r="AM54" s="57" t="e">
        <f>100*STDEV(F54,I54,L54,O54,R54,U54,X54,AA54,AD54,AG54)/$C$54</f>
        <v>#DIV/0!</v>
      </c>
      <c r="AN54" s="68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257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257"/>
      <c r="BR54" s="401" t="e">
        <f t="shared" si="6"/>
        <v>#DIV/0!</v>
      </c>
      <c r="BS54" s="402" t="e">
        <f t="shared" si="6"/>
        <v>#DIV/0!</v>
      </c>
      <c r="BT54" s="404" t="e">
        <f t="shared" si="6"/>
        <v>#DIV/0!</v>
      </c>
      <c r="BU54" s="402" t="e">
        <f>100*STDEV(AN54,AQ54,AT54,AW54,AZ54,BC54,BF54,BI54,BL54,BO54)/$C$54</f>
        <v>#DIV/0!</v>
      </c>
      <c r="BV54" s="403" t="e">
        <f>100*STDEV(AO54,AR54,AU54,AX54,BA54,BD54,BG54,BJ54,BM54,BP54)/$C$54</f>
        <v>#DIV/0!</v>
      </c>
      <c r="BW54" s="404" t="e">
        <f>100*STDEV(AP54,AS54,AV54,AY54,BB54,BE54,BH54,BK54,BN54,BQ54)/$C$54</f>
        <v>#DIV/0!</v>
      </c>
      <c r="BX54" s="168" t="e">
        <f t="shared" si="7"/>
        <v>#DIV/0!</v>
      </c>
      <c r="BY54" s="169" t="e">
        <f t="shared" si="0"/>
        <v>#DIV/0!</v>
      </c>
      <c r="BZ54" s="170" t="e">
        <f t="shared" si="1"/>
        <v>#DIV/0!</v>
      </c>
      <c r="CA54" s="168" t="e">
        <f t="shared" si="2"/>
        <v>#DIV/0!</v>
      </c>
      <c r="CB54" s="169" t="e">
        <f t="shared" si="3"/>
        <v>#DIV/0!</v>
      </c>
      <c r="CC54" s="170" t="e">
        <f t="shared" si="4"/>
        <v>#DIV/0!</v>
      </c>
    </row>
    <row r="55" spans="2:81" ht="15" customHeight="1">
      <c r="B55" s="39"/>
    </row>
    <row r="56" spans="2:81" ht="15" customHeight="1">
      <c r="B56" s="39"/>
    </row>
    <row r="57" spans="2:81" ht="15" customHeight="1">
      <c r="B57" s="39"/>
    </row>
    <row r="58" spans="2:81" ht="15" customHeight="1">
      <c r="B58" s="39"/>
    </row>
    <row r="59" spans="2:81" ht="15" customHeight="1">
      <c r="B59" s="39"/>
    </row>
    <row r="60" spans="2:81" ht="15" customHeight="1">
      <c r="B60" s="39"/>
    </row>
    <row r="61" spans="2:81" ht="15" customHeight="1">
      <c r="B61" s="39"/>
    </row>
    <row r="62" spans="2:81" ht="15" customHeight="1">
      <c r="B62" s="39"/>
    </row>
    <row r="63" spans="2:81" ht="15" customHeight="1">
      <c r="B63" s="39"/>
    </row>
    <row r="64" spans="2:81" ht="15" customHeight="1">
      <c r="B64" s="39"/>
    </row>
    <row r="65" spans="2:2" ht="15" customHeight="1">
      <c r="B65" s="39"/>
    </row>
    <row r="66" spans="2:2" ht="15" customHeight="1">
      <c r="B66" s="39"/>
    </row>
    <row r="67" spans="2:2" ht="15" customHeight="1">
      <c r="B67" s="39"/>
    </row>
    <row r="68" spans="2:2" ht="15" customHeight="1">
      <c r="B68" s="39"/>
    </row>
    <row r="69" spans="2:2" ht="15" customHeight="1">
      <c r="B69" s="39"/>
    </row>
    <row r="70" spans="2:2" ht="15" customHeight="1">
      <c r="B70" s="39"/>
    </row>
    <row r="71" spans="2:2" ht="15" customHeight="1">
      <c r="B71" s="39"/>
    </row>
    <row r="72" spans="2:2" ht="15" customHeight="1">
      <c r="B72" s="39"/>
    </row>
    <row r="73" spans="2:2" ht="15" customHeight="1">
      <c r="B73" s="39"/>
    </row>
    <row r="74" spans="2:2" ht="15" customHeight="1">
      <c r="B74" s="39"/>
    </row>
    <row r="75" spans="2:2" ht="15" customHeight="1">
      <c r="B75" s="39"/>
    </row>
    <row r="76" spans="2:2" ht="15" customHeight="1">
      <c r="B76" s="39"/>
    </row>
    <row r="77" spans="2:2" ht="15" customHeight="1">
      <c r="B77" s="39"/>
    </row>
    <row r="78" spans="2:2" ht="15" customHeight="1">
      <c r="B78" s="39"/>
    </row>
    <row r="79" spans="2:2" ht="15" customHeight="1">
      <c r="B79" s="39"/>
    </row>
    <row r="80" spans="2:2" ht="15" customHeight="1">
      <c r="B80" s="39"/>
    </row>
    <row r="81" spans="2:2" ht="15" customHeight="1">
      <c r="B81" s="39"/>
    </row>
    <row r="82" spans="2:2" ht="15" customHeight="1">
      <c r="B82" s="39"/>
    </row>
    <row r="83" spans="2:2" ht="15" customHeight="1">
      <c r="B83" s="39"/>
    </row>
    <row r="84" spans="2:2" ht="15" customHeight="1">
      <c r="B84" s="39"/>
    </row>
    <row r="85" spans="2:2" ht="15" customHeight="1">
      <c r="B85" s="39"/>
    </row>
    <row r="86" spans="2:2" ht="15" customHeight="1">
      <c r="B86" s="39"/>
    </row>
    <row r="87" spans="2:2" ht="15" customHeight="1">
      <c r="B87" s="39"/>
    </row>
    <row r="88" spans="2:2" ht="15" customHeight="1">
      <c r="B88" s="39"/>
    </row>
    <row r="89" spans="2:2" ht="15" customHeight="1">
      <c r="B89" s="39"/>
    </row>
    <row r="90" spans="2:2" ht="15" customHeight="1">
      <c r="B90" s="39"/>
    </row>
    <row r="91" spans="2:2" ht="15" customHeight="1">
      <c r="B91" s="39"/>
    </row>
    <row r="92" spans="2:2" ht="15" customHeight="1">
      <c r="B92" s="39"/>
    </row>
    <row r="93" spans="2:2" ht="15" customHeight="1">
      <c r="B93" s="39"/>
    </row>
    <row r="94" spans="2:2" ht="15" customHeight="1">
      <c r="B94" s="39"/>
    </row>
    <row r="95" spans="2:2" ht="15" customHeight="1">
      <c r="B95" s="39"/>
    </row>
    <row r="96" spans="2:2" ht="15" customHeight="1">
      <c r="B96" s="39"/>
    </row>
    <row r="97" spans="2:2" ht="15" customHeight="1">
      <c r="B97" s="39"/>
    </row>
    <row r="98" spans="2:2" ht="15" customHeight="1">
      <c r="B98" s="39"/>
    </row>
    <row r="99" spans="2:2" ht="15" customHeight="1">
      <c r="B99" s="39"/>
    </row>
    <row r="100" spans="2:2" ht="15" customHeight="1">
      <c r="B100" s="39"/>
    </row>
    <row r="101" spans="2:2" ht="15" customHeight="1">
      <c r="B101" s="39"/>
    </row>
    <row r="102" spans="2:2" ht="15" customHeight="1">
      <c r="B102" s="39"/>
    </row>
    <row r="103" spans="2:2" ht="15" customHeight="1">
      <c r="B103" s="39"/>
    </row>
    <row r="104" spans="2:2" ht="15" customHeight="1">
      <c r="B104" s="39"/>
    </row>
    <row r="105" spans="2:2" ht="15" customHeight="1">
      <c r="B105" s="39"/>
    </row>
    <row r="106" spans="2:2" ht="15" customHeight="1">
      <c r="B106" s="39"/>
    </row>
    <row r="107" spans="2:2" ht="15" customHeight="1">
      <c r="B107" s="39"/>
    </row>
    <row r="108" spans="2:2" ht="15" customHeight="1">
      <c r="B108" s="39"/>
    </row>
    <row r="109" spans="2:2" ht="15" customHeight="1">
      <c r="B109" s="39"/>
    </row>
    <row r="110" spans="2:2" ht="15" customHeight="1">
      <c r="B110" s="39"/>
    </row>
    <row r="111" spans="2:2" ht="15" customHeight="1">
      <c r="B111" s="39"/>
    </row>
    <row r="112" spans="2:2" ht="15" customHeight="1">
      <c r="B112" s="39"/>
    </row>
    <row r="113" spans="2:2" ht="15" customHeight="1">
      <c r="B113" s="39"/>
    </row>
    <row r="114" spans="2:2" ht="15" customHeight="1">
      <c r="B114" s="39"/>
    </row>
    <row r="115" spans="2:2" ht="15" customHeight="1">
      <c r="B115" s="39"/>
    </row>
    <row r="116" spans="2:2" ht="15" customHeight="1">
      <c r="B116" s="39"/>
    </row>
    <row r="117" spans="2:2" ht="15" customHeight="1">
      <c r="B117" s="39"/>
    </row>
    <row r="118" spans="2:2" ht="15" customHeight="1">
      <c r="B118" s="39"/>
    </row>
    <row r="119" spans="2:2" ht="15" customHeight="1">
      <c r="B119" s="39"/>
    </row>
    <row r="120" spans="2:2" ht="15" customHeight="1">
      <c r="B120" s="39"/>
    </row>
    <row r="121" spans="2:2" ht="15" customHeight="1">
      <c r="B121" s="39"/>
    </row>
    <row r="122" spans="2:2" ht="15" customHeight="1">
      <c r="B122" s="39"/>
    </row>
    <row r="123" spans="2:2" ht="15" customHeight="1">
      <c r="B123" s="39"/>
    </row>
    <row r="124" spans="2:2" ht="15" customHeight="1">
      <c r="B124" s="39"/>
    </row>
    <row r="125" spans="2:2" ht="15" customHeight="1">
      <c r="B125" s="39"/>
    </row>
    <row r="126" spans="2:2" ht="15" customHeight="1">
      <c r="B126" s="39"/>
    </row>
    <row r="127" spans="2:2" ht="15" customHeight="1">
      <c r="B127" s="39"/>
    </row>
    <row r="128" spans="2:2">
      <c r="B128" s="39"/>
    </row>
    <row r="129" spans="2:2">
      <c r="B129" s="39"/>
    </row>
    <row r="130" spans="2:2">
      <c r="B130" s="39"/>
    </row>
    <row r="131" spans="2:2">
      <c r="B131" s="39"/>
    </row>
    <row r="132" spans="2:2">
      <c r="B132" s="39"/>
    </row>
    <row r="133" spans="2:2">
      <c r="B133" s="39"/>
    </row>
    <row r="134" spans="2:2">
      <c r="B134" s="39"/>
    </row>
    <row r="135" spans="2:2">
      <c r="B135" s="39"/>
    </row>
    <row r="136" spans="2:2">
      <c r="B136" s="39"/>
    </row>
    <row r="137" spans="2:2">
      <c r="B137" s="39"/>
    </row>
  </sheetData>
  <mergeCells count="28">
    <mergeCell ref="AK3:AM3"/>
    <mergeCell ref="D2:AM2"/>
    <mergeCell ref="AN2:BW2"/>
    <mergeCell ref="BX2:BZ3"/>
    <mergeCell ref="CA2:CC3"/>
    <mergeCell ref="D3:F3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ayfa6">
    <tabColor rgb="FF92D050"/>
  </sheetPr>
  <dimension ref="B1:Q10"/>
  <sheetViews>
    <sheetView zoomScale="80" zoomScaleNormal="80" workbookViewId="0">
      <selection activeCell="N19" sqref="N19"/>
    </sheetView>
  </sheetViews>
  <sheetFormatPr defaultColWidth="9.109375" defaultRowHeight="14.4"/>
  <cols>
    <col min="1" max="1" width="6.6640625" style="41" customWidth="1"/>
    <col min="2" max="2" width="11.88671875" style="41" customWidth="1"/>
    <col min="3" max="3" width="24.5546875" style="41" customWidth="1"/>
    <col min="4" max="4" width="9" style="41" customWidth="1"/>
    <col min="5" max="6" width="9.88671875" style="41" customWidth="1"/>
    <col min="7" max="10" width="9.109375" style="41"/>
    <col min="11" max="11" width="9.88671875" style="41" customWidth="1"/>
    <col min="12" max="16384" width="9.109375" style="41"/>
  </cols>
  <sheetData>
    <row r="1" spans="2:17" ht="15" thickBot="1"/>
    <row r="2" spans="2:17" s="77" customFormat="1" ht="18.75" customHeight="1">
      <c r="B2" s="601" t="s">
        <v>1</v>
      </c>
      <c r="C2" s="602"/>
      <c r="D2" s="602"/>
      <c r="E2" s="604"/>
      <c r="F2" s="605" t="s">
        <v>171</v>
      </c>
      <c r="G2" s="606"/>
      <c r="H2" s="607"/>
      <c r="I2" s="608" t="s">
        <v>17</v>
      </c>
      <c r="J2" s="606"/>
      <c r="K2" s="607"/>
      <c r="L2" s="601" t="s">
        <v>138</v>
      </c>
      <c r="M2" s="602"/>
      <c r="N2" s="603"/>
      <c r="O2" s="601" t="s">
        <v>139</v>
      </c>
      <c r="P2" s="602"/>
      <c r="Q2" s="604"/>
    </row>
    <row r="3" spans="2:17" s="70" customFormat="1" ht="17.25" customHeight="1" thickBot="1">
      <c r="B3" s="45" t="s">
        <v>14</v>
      </c>
      <c r="C3" s="46" t="s">
        <v>12</v>
      </c>
      <c r="D3" s="46" t="s">
        <v>172</v>
      </c>
      <c r="E3" s="47" t="s">
        <v>13</v>
      </c>
      <c r="F3" s="82" t="s">
        <v>168</v>
      </c>
      <c r="G3" s="83" t="s">
        <v>169</v>
      </c>
      <c r="H3" s="84" t="s">
        <v>170</v>
      </c>
      <c r="I3" s="82" t="s">
        <v>168</v>
      </c>
      <c r="J3" s="83" t="s">
        <v>169</v>
      </c>
      <c r="K3" s="84" t="s">
        <v>170</v>
      </c>
      <c r="L3" s="46" t="s">
        <v>168</v>
      </c>
      <c r="M3" s="46" t="s">
        <v>169</v>
      </c>
      <c r="N3" s="524" t="s">
        <v>170</v>
      </c>
      <c r="O3" s="45" t="s">
        <v>168</v>
      </c>
      <c r="P3" s="46" t="s">
        <v>169</v>
      </c>
      <c r="Q3" s="47" t="s">
        <v>170</v>
      </c>
    </row>
    <row r="4" spans="2:17">
      <c r="B4" s="79">
        <v>57.734999999999999</v>
      </c>
      <c r="C4" s="78">
        <v>8.3330000000000002</v>
      </c>
      <c r="D4" s="78">
        <v>1</v>
      </c>
      <c r="E4" s="81">
        <v>2.7240000000000002</v>
      </c>
      <c r="F4" s="172"/>
      <c r="G4" s="78"/>
      <c r="H4" s="81"/>
      <c r="I4" s="173"/>
      <c r="J4" s="78"/>
      <c r="K4" s="81"/>
      <c r="L4" s="174">
        <f>F4-1</f>
        <v>-1</v>
      </c>
      <c r="M4" s="175">
        <f>G4-1</f>
        <v>-1</v>
      </c>
      <c r="N4" s="525">
        <f t="shared" ref="M4:N10" si="0">H4-1</f>
        <v>-1</v>
      </c>
      <c r="O4" s="174">
        <f t="shared" ref="O4:O10" si="1">I4-1</f>
        <v>-1</v>
      </c>
      <c r="P4" s="175">
        <f t="shared" ref="P4:P10" si="2">J4-1</f>
        <v>-1</v>
      </c>
      <c r="Q4" s="176">
        <f t="shared" ref="Q4:Q10" si="3">K4-1</f>
        <v>-1</v>
      </c>
    </row>
    <row r="5" spans="2:17">
      <c r="B5" s="72">
        <v>57.734999999999999</v>
      </c>
      <c r="C5" s="71">
        <v>16.666</v>
      </c>
      <c r="D5" s="71">
        <v>2</v>
      </c>
      <c r="E5" s="74">
        <v>2.2109999999999999</v>
      </c>
      <c r="F5" s="177"/>
      <c r="G5" s="71"/>
      <c r="H5" s="74"/>
      <c r="I5" s="178"/>
      <c r="J5" s="71"/>
      <c r="K5" s="74"/>
      <c r="L5" s="179">
        <f t="shared" ref="L5:L10" si="4">F5-1</f>
        <v>-1</v>
      </c>
      <c r="M5" s="180">
        <f t="shared" si="0"/>
        <v>-1</v>
      </c>
      <c r="N5" s="526">
        <f t="shared" si="0"/>
        <v>-1</v>
      </c>
      <c r="O5" s="179">
        <f t="shared" si="1"/>
        <v>-1</v>
      </c>
      <c r="P5" s="180">
        <f t="shared" si="2"/>
        <v>-1</v>
      </c>
      <c r="Q5" s="181">
        <f t="shared" si="3"/>
        <v>-1</v>
      </c>
    </row>
    <row r="6" spans="2:17">
      <c r="B6" s="72">
        <v>57.734999999999999</v>
      </c>
      <c r="C6" s="71">
        <v>58.332999999999998</v>
      </c>
      <c r="D6" s="71">
        <v>7</v>
      </c>
      <c r="E6" s="74">
        <v>1.4590000000000001</v>
      </c>
      <c r="F6" s="177"/>
      <c r="G6" s="71"/>
      <c r="H6" s="74"/>
      <c r="I6" s="178"/>
      <c r="J6" s="71"/>
      <c r="K6" s="74"/>
      <c r="L6" s="179">
        <f t="shared" si="4"/>
        <v>-1</v>
      </c>
      <c r="M6" s="180">
        <f t="shared" si="0"/>
        <v>-1</v>
      </c>
      <c r="N6" s="526">
        <f t="shared" si="0"/>
        <v>-1</v>
      </c>
      <c r="O6" s="179">
        <f t="shared" si="1"/>
        <v>-1</v>
      </c>
      <c r="P6" s="180">
        <f t="shared" si="2"/>
        <v>-1</v>
      </c>
      <c r="Q6" s="181">
        <f t="shared" si="3"/>
        <v>-1</v>
      </c>
    </row>
    <row r="7" spans="2:17">
      <c r="B7" s="72">
        <v>57.734999999999999</v>
      </c>
      <c r="C7" s="71">
        <v>325</v>
      </c>
      <c r="D7" s="71">
        <v>39</v>
      </c>
      <c r="E7" s="74">
        <v>0.90600000000000003</v>
      </c>
      <c r="F7" s="177"/>
      <c r="G7" s="71"/>
      <c r="H7" s="74"/>
      <c r="I7" s="178"/>
      <c r="J7" s="71"/>
      <c r="K7" s="74"/>
      <c r="L7" s="179">
        <f t="shared" si="4"/>
        <v>-1</v>
      </c>
      <c r="M7" s="180">
        <f t="shared" si="0"/>
        <v>-1</v>
      </c>
      <c r="N7" s="526">
        <f t="shared" si="0"/>
        <v>-1</v>
      </c>
      <c r="O7" s="179">
        <f t="shared" si="1"/>
        <v>-1</v>
      </c>
      <c r="P7" s="180">
        <f t="shared" si="2"/>
        <v>-1</v>
      </c>
      <c r="Q7" s="181">
        <f t="shared" si="3"/>
        <v>-1</v>
      </c>
    </row>
    <row r="8" spans="2:17">
      <c r="B8" s="72">
        <v>57.734999999999999</v>
      </c>
      <c r="C8" s="71">
        <v>916.66700000000003</v>
      </c>
      <c r="D8" s="71">
        <v>110</v>
      </c>
      <c r="E8" s="74">
        <v>0.72499999999999998</v>
      </c>
      <c r="F8" s="177"/>
      <c r="G8" s="71"/>
      <c r="H8" s="74"/>
      <c r="I8" s="178"/>
      <c r="J8" s="71"/>
      <c r="K8" s="74"/>
      <c r="L8" s="179">
        <f t="shared" si="4"/>
        <v>-1</v>
      </c>
      <c r="M8" s="180">
        <f t="shared" si="0"/>
        <v>-1</v>
      </c>
      <c r="N8" s="526">
        <f t="shared" si="0"/>
        <v>-1</v>
      </c>
      <c r="O8" s="179">
        <f t="shared" si="1"/>
        <v>-1</v>
      </c>
      <c r="P8" s="180">
        <f t="shared" si="2"/>
        <v>-1</v>
      </c>
      <c r="Q8" s="181">
        <f t="shared" si="3"/>
        <v>-1</v>
      </c>
    </row>
    <row r="9" spans="2:17">
      <c r="B9" s="72">
        <v>57.734999999999999</v>
      </c>
      <c r="C9" s="71">
        <v>13500</v>
      </c>
      <c r="D9" s="71">
        <v>1620</v>
      </c>
      <c r="E9" s="74">
        <v>0.40200000000000002</v>
      </c>
      <c r="F9" s="177"/>
      <c r="G9" s="71"/>
      <c r="H9" s="74"/>
      <c r="I9" s="178"/>
      <c r="J9" s="71"/>
      <c r="K9" s="74"/>
      <c r="L9" s="179">
        <f t="shared" si="4"/>
        <v>-1</v>
      </c>
      <c r="M9" s="180">
        <f t="shared" si="0"/>
        <v>-1</v>
      </c>
      <c r="N9" s="526">
        <f t="shared" si="0"/>
        <v>-1</v>
      </c>
      <c r="O9" s="179">
        <f t="shared" si="1"/>
        <v>-1</v>
      </c>
      <c r="P9" s="180">
        <f t="shared" si="2"/>
        <v>-1</v>
      </c>
      <c r="Q9" s="181">
        <f t="shared" si="3"/>
        <v>-1</v>
      </c>
    </row>
    <row r="10" spans="2:17" ht="15" thickBot="1">
      <c r="B10" s="73">
        <v>57.734999999999999</v>
      </c>
      <c r="C10" s="75">
        <v>33333</v>
      </c>
      <c r="D10" s="75">
        <v>4000</v>
      </c>
      <c r="E10" s="76">
        <v>2.4</v>
      </c>
      <c r="F10" s="182"/>
      <c r="G10" s="75"/>
      <c r="H10" s="76"/>
      <c r="I10" s="183"/>
      <c r="J10" s="75"/>
      <c r="K10" s="76"/>
      <c r="L10" s="184">
        <f t="shared" si="4"/>
        <v>-1</v>
      </c>
      <c r="M10" s="185">
        <f t="shared" si="0"/>
        <v>-1</v>
      </c>
      <c r="N10" s="527">
        <f t="shared" si="0"/>
        <v>-1</v>
      </c>
      <c r="O10" s="184">
        <f t="shared" si="1"/>
        <v>-1</v>
      </c>
      <c r="P10" s="185">
        <f t="shared" si="2"/>
        <v>-1</v>
      </c>
      <c r="Q10" s="186">
        <f t="shared" si="3"/>
        <v>-1</v>
      </c>
    </row>
  </sheetData>
  <mergeCells count="5">
    <mergeCell ref="L2:N2"/>
    <mergeCell ref="O2:Q2"/>
    <mergeCell ref="B2:E2"/>
    <mergeCell ref="F2:H2"/>
    <mergeCell ref="I2: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ayfa11">
    <tabColor rgb="FF00B050"/>
  </sheetPr>
  <dimension ref="B1:Y7"/>
  <sheetViews>
    <sheetView tabSelected="1" zoomScale="80" zoomScaleNormal="80" workbookViewId="0">
      <selection activeCell="U6" sqref="U6"/>
    </sheetView>
  </sheetViews>
  <sheetFormatPr defaultColWidth="9.109375" defaultRowHeight="11.4"/>
  <cols>
    <col min="1" max="1" width="5.109375" style="1" customWidth="1"/>
    <col min="2" max="2" width="15.109375" style="206" customWidth="1"/>
    <col min="3" max="3" width="14.109375" style="206" customWidth="1"/>
    <col min="4" max="4" width="13.44140625" style="206" customWidth="1"/>
    <col min="5" max="5" width="13.6640625" style="206" customWidth="1"/>
    <col min="6" max="6" width="14.88671875" style="1" customWidth="1"/>
    <col min="7" max="7" width="9.109375" style="1" customWidth="1"/>
    <col min="8" max="8" width="12.109375" style="1" customWidth="1"/>
    <col min="9" max="9" width="9.109375" style="1" hidden="1" customWidth="1"/>
    <col min="10" max="10" width="9.109375" style="1" customWidth="1"/>
    <col min="11" max="11" width="9.109375" style="1"/>
    <col min="12" max="12" width="14.88671875" style="1" customWidth="1"/>
    <col min="13" max="14" width="9.109375" style="1" customWidth="1"/>
    <col min="15" max="15" width="9.109375" style="1" hidden="1" customWidth="1"/>
    <col min="16" max="16" width="9.109375" style="1" customWidth="1"/>
    <col min="17" max="19" width="9.109375" style="1"/>
    <col min="20" max="20" width="10.88671875" style="1" bestFit="1" customWidth="1"/>
    <col min="21" max="21" width="9.88671875" style="1" customWidth="1"/>
    <col min="22" max="16384" width="9.109375" style="1"/>
  </cols>
  <sheetData>
    <row r="1" spans="2:25" ht="23.4" customHeight="1" thickBot="1">
      <c r="B1" s="609" t="s">
        <v>66</v>
      </c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  <c r="Q1" s="410"/>
    </row>
    <row r="2" spans="2:25" s="214" customFormat="1" ht="15.75" customHeight="1" thickBot="1">
      <c r="B2" s="616" t="s">
        <v>66</v>
      </c>
      <c r="C2" s="617"/>
      <c r="D2" s="617"/>
      <c r="E2" s="618"/>
      <c r="F2" s="619" t="s">
        <v>67</v>
      </c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1"/>
    </row>
    <row r="3" spans="2:25" ht="14.25" customHeight="1" thickBot="1">
      <c r="B3" s="622" t="s">
        <v>46</v>
      </c>
      <c r="C3" s="623"/>
      <c r="D3" s="624" t="s">
        <v>77</v>
      </c>
      <c r="E3" s="625"/>
      <c r="F3" s="626" t="s">
        <v>47</v>
      </c>
      <c r="G3" s="627"/>
      <c r="H3" s="627"/>
      <c r="I3" s="627"/>
      <c r="J3" s="627"/>
      <c r="K3" s="628"/>
      <c r="L3" s="626" t="s">
        <v>48</v>
      </c>
      <c r="M3" s="627"/>
      <c r="N3" s="627"/>
      <c r="O3" s="627"/>
      <c r="P3" s="627"/>
      <c r="Q3" s="628"/>
      <c r="T3" s="610" t="s">
        <v>111</v>
      </c>
      <c r="U3" s="611"/>
      <c r="V3" s="612" t="s">
        <v>107</v>
      </c>
      <c r="W3" s="613"/>
      <c r="X3" s="614" t="s">
        <v>108</v>
      </c>
      <c r="Y3" s="615"/>
    </row>
    <row r="4" spans="2:25" ht="18.75" customHeight="1" thickBot="1">
      <c r="B4" s="215" t="s">
        <v>14</v>
      </c>
      <c r="C4" s="484" t="s">
        <v>15</v>
      </c>
      <c r="D4" s="215" t="s">
        <v>83</v>
      </c>
      <c r="E4" s="217" t="s">
        <v>82</v>
      </c>
      <c r="F4" s="218" t="s">
        <v>49</v>
      </c>
      <c r="G4" s="219" t="s">
        <v>50</v>
      </c>
      <c r="H4" s="219" t="s">
        <v>51</v>
      </c>
      <c r="I4" s="219" t="s">
        <v>52</v>
      </c>
      <c r="J4" s="219" t="s">
        <v>53</v>
      </c>
      <c r="K4" s="220" t="s">
        <v>54</v>
      </c>
      <c r="L4" s="218" t="s">
        <v>49</v>
      </c>
      <c r="M4" s="219" t="s">
        <v>50</v>
      </c>
      <c r="N4" s="219" t="s">
        <v>51</v>
      </c>
      <c r="O4" s="219" t="s">
        <v>52</v>
      </c>
      <c r="P4" s="219" t="s">
        <v>53</v>
      </c>
      <c r="Q4" s="270" t="s">
        <v>54</v>
      </c>
      <c r="R4" s="533" t="s">
        <v>89</v>
      </c>
      <c r="S4" s="534" t="s">
        <v>54</v>
      </c>
      <c r="T4" s="314" t="s">
        <v>104</v>
      </c>
      <c r="U4" s="315" t="s">
        <v>105</v>
      </c>
      <c r="V4" s="318" t="s">
        <v>47</v>
      </c>
      <c r="W4" s="455" t="s">
        <v>48</v>
      </c>
      <c r="X4" s="314" t="s">
        <v>47</v>
      </c>
      <c r="Y4" s="315" t="s">
        <v>48</v>
      </c>
    </row>
    <row r="5" spans="2:25" ht="12.9" customHeight="1">
      <c r="B5" s="9">
        <f>FORMAT_f!$B$4</f>
        <v>57.734999999999999</v>
      </c>
      <c r="C5" s="416">
        <f>FORMAT_f!$C$4</f>
        <v>47</v>
      </c>
      <c r="D5" s="11">
        <f>FORMAT_f!F4</f>
        <v>-47</v>
      </c>
      <c r="E5" s="171">
        <f>FORMAT_f!G4</f>
        <v>-47</v>
      </c>
      <c r="F5" s="221">
        <f>FORMAT_f!$F$5</f>
        <v>0</v>
      </c>
      <c r="G5" s="222">
        <f>F5/10^0.5</f>
        <v>0</v>
      </c>
      <c r="H5" s="229">
        <f>100*0.00001</f>
        <v>1E-3</v>
      </c>
      <c r="I5" s="229"/>
      <c r="J5" s="231">
        <f>100*0.00001/2/$C$5</f>
        <v>1.0638297872340426E-5</v>
      </c>
      <c r="K5" s="390">
        <f>2*(G5^2+H5^2/4+I5^2/3+J5^2/3)^0.5</f>
        <v>1.0000754460750252E-3</v>
      </c>
      <c r="L5" s="228">
        <f>FORMAT_f!$G$5</f>
        <v>0</v>
      </c>
      <c r="M5" s="229">
        <f>L5/10^0.5</f>
        <v>0</v>
      </c>
      <c r="N5" s="229">
        <f>100*0.00001</f>
        <v>1E-3</v>
      </c>
      <c r="O5" s="229"/>
      <c r="P5" s="231">
        <f>100*0.00001/2/$C$5</f>
        <v>1.0638297872340426E-5</v>
      </c>
      <c r="Q5" s="271">
        <f>2*(M5^2+N5^2/4+O5^2/3+P5^2/3)^0.5</f>
        <v>1.0000754460750252E-3</v>
      </c>
      <c r="R5" s="532">
        <f>Q5*0.01*C5</f>
        <v>4.7003545965526187E-4</v>
      </c>
      <c r="S5" s="530">
        <f>IF(Q5&gt;K5,Q5,K5)</f>
        <v>1.0000754460750252E-3</v>
      </c>
      <c r="T5" s="321">
        <v>1E-3</v>
      </c>
      <c r="U5" s="458">
        <v>0.01</v>
      </c>
      <c r="V5" s="319" t="b">
        <f>IF(ABS(D5)&lt;T5,TRUE,FALSE)</f>
        <v>0</v>
      </c>
      <c r="W5" s="467" t="b">
        <f>IF(ABS(E5)&lt;T5,TRUE,FALSE)</f>
        <v>0</v>
      </c>
      <c r="X5" s="463" t="b">
        <f>IF(ABS(D5)&lt;U5,TRUE,FALSE)</f>
        <v>0</v>
      </c>
      <c r="Y5" s="316" t="b">
        <f>IF(ABS(E5)&lt;U5,TRUE,FALSE)</f>
        <v>0</v>
      </c>
    </row>
    <row r="6" spans="2:25" ht="12.9" customHeight="1">
      <c r="B6" s="85">
        <f>FORMAT_f!$B$17</f>
        <v>57.734999999999999</v>
      </c>
      <c r="C6" s="417">
        <f>FORMAT_f!$C$17</f>
        <v>50</v>
      </c>
      <c r="D6" s="4">
        <f>FORMAT_f!F17</f>
        <v>-50</v>
      </c>
      <c r="E6" s="48">
        <f>FORMAT_f!G17</f>
        <v>-50</v>
      </c>
      <c r="F6" s="200">
        <f>FORMAT_f!$F$18</f>
        <v>0</v>
      </c>
      <c r="G6" s="199">
        <f t="shared" ref="G6:G7" si="0">F6/10^0.5</f>
        <v>0</v>
      </c>
      <c r="H6" s="229">
        <f t="shared" ref="H6:H7" si="1">100*0.00001</f>
        <v>1E-3</v>
      </c>
      <c r="I6" s="231"/>
      <c r="J6" s="231">
        <f>100*0.00001/2/$C$6</f>
        <v>1.0000000000000001E-5</v>
      </c>
      <c r="K6" s="232">
        <f t="shared" ref="K6:K7" si="2">2*(G6^2+H6^2/4+I6^2/3+J6^2/3)^0.5</f>
        <v>1.0000666644445926E-3</v>
      </c>
      <c r="L6" s="286">
        <f>FORMAT_f!$G$18</f>
        <v>0</v>
      </c>
      <c r="M6" s="231">
        <f t="shared" ref="M6:M7" si="3">L6/10^0.5</f>
        <v>0</v>
      </c>
      <c r="N6" s="229">
        <f t="shared" ref="N6:N7" si="4">100*0.00001</f>
        <v>1E-3</v>
      </c>
      <c r="O6" s="231"/>
      <c r="P6" s="231">
        <f>100*0.00001/2/$C$6</f>
        <v>1.0000000000000001E-5</v>
      </c>
      <c r="Q6" s="259">
        <f t="shared" ref="Q6:Q7" si="5">2*(M6^2+N6^2/4+O6^2/3+P6^2/3)^0.5</f>
        <v>1.0000666644445926E-3</v>
      </c>
      <c r="R6" s="268">
        <f t="shared" ref="R6:R7" si="6">Q6*0.01*C6</f>
        <v>5.0003333222229632E-4</v>
      </c>
      <c r="S6" s="530">
        <f t="shared" ref="S6:S7" si="7">IF(Q6&gt;K6,Q6,K6)</f>
        <v>1.0000666644445926E-3</v>
      </c>
      <c r="T6" s="321">
        <v>1E-3</v>
      </c>
      <c r="U6" s="458">
        <v>0.01</v>
      </c>
      <c r="V6" s="319" t="b">
        <f t="shared" ref="V6:V7" si="8">IF(ABS(D6)&lt;T6,TRUE,FALSE)</f>
        <v>0</v>
      </c>
      <c r="W6" s="467" t="b">
        <f t="shared" ref="W6:W7" si="9">IF(ABS(E6)&lt;T6,TRUE,FALSE)</f>
        <v>0</v>
      </c>
      <c r="X6" s="463" t="b">
        <f t="shared" ref="X6:X7" si="10">IF(ABS(D6)&lt;U6,TRUE,FALSE)</f>
        <v>0</v>
      </c>
      <c r="Y6" s="316" t="b">
        <f t="shared" ref="Y6:Y7" si="11">IF(ABS(E6)&lt;U6,TRUE,FALSE)</f>
        <v>0</v>
      </c>
    </row>
    <row r="7" spans="2:25" ht="12.9" customHeight="1" thickBot="1">
      <c r="B7" s="86">
        <f>FORMAT_f!$B$30</f>
        <v>57.734999999999999</v>
      </c>
      <c r="C7" s="418">
        <f>FORMAT_f!$C$30</f>
        <v>53</v>
      </c>
      <c r="D7" s="485">
        <f>FORMAT_f!F30</f>
        <v>-53</v>
      </c>
      <c r="E7" s="258">
        <f>FORMAT_f!G30</f>
        <v>-53</v>
      </c>
      <c r="F7" s="201">
        <f>FORMAT_f!$F$31</f>
        <v>0</v>
      </c>
      <c r="G7" s="211">
        <f t="shared" si="0"/>
        <v>0</v>
      </c>
      <c r="H7" s="212">
        <f t="shared" si="1"/>
        <v>1E-3</v>
      </c>
      <c r="I7" s="212"/>
      <c r="J7" s="212">
        <f>100*0.00001/2/$C$7</f>
        <v>9.4339622641509439E-6</v>
      </c>
      <c r="K7" s="391">
        <f t="shared" si="2"/>
        <v>1.0000593313358973E-3</v>
      </c>
      <c r="L7" s="233">
        <f>FORMAT_f!$G$31</f>
        <v>0</v>
      </c>
      <c r="M7" s="212">
        <f t="shared" si="3"/>
        <v>0</v>
      </c>
      <c r="N7" s="212">
        <f t="shared" si="4"/>
        <v>1E-3</v>
      </c>
      <c r="O7" s="212"/>
      <c r="P7" s="212">
        <f>100*0.00001/2/$C$7</f>
        <v>9.4339622641509439E-6</v>
      </c>
      <c r="Q7" s="260">
        <f t="shared" si="5"/>
        <v>1.0000593313358973E-3</v>
      </c>
      <c r="R7" s="269">
        <f t="shared" si="6"/>
        <v>5.3003144560802556E-4</v>
      </c>
      <c r="S7" s="531">
        <f t="shared" si="7"/>
        <v>1.0000593313358973E-3</v>
      </c>
      <c r="T7" s="333">
        <v>1E-3</v>
      </c>
      <c r="U7" s="462">
        <v>0.01</v>
      </c>
      <c r="V7" s="320" t="b">
        <f t="shared" si="8"/>
        <v>0</v>
      </c>
      <c r="W7" s="468" t="b">
        <f t="shared" si="9"/>
        <v>0</v>
      </c>
      <c r="X7" s="464" t="b">
        <f t="shared" si="10"/>
        <v>0</v>
      </c>
      <c r="Y7" s="317" t="b">
        <f t="shared" si="11"/>
        <v>0</v>
      </c>
    </row>
  </sheetData>
  <mergeCells count="10">
    <mergeCell ref="B1:P1"/>
    <mergeCell ref="T3:U3"/>
    <mergeCell ref="V3:W3"/>
    <mergeCell ref="X3:Y3"/>
    <mergeCell ref="B2:E2"/>
    <mergeCell ref="F2:Q2"/>
    <mergeCell ref="B3:C3"/>
    <mergeCell ref="D3:E3"/>
    <mergeCell ref="F3:K3"/>
    <mergeCell ref="L3:Q3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ayfa7">
    <tabColor rgb="FF00B050"/>
  </sheetPr>
  <dimension ref="A1:X26"/>
  <sheetViews>
    <sheetView zoomScale="80" zoomScaleNormal="80" workbookViewId="0">
      <selection activeCell="R4" sqref="R4:R6"/>
    </sheetView>
  </sheetViews>
  <sheetFormatPr defaultColWidth="9.109375" defaultRowHeight="11.4"/>
  <cols>
    <col min="1" max="1" width="4.44140625" style="206" customWidth="1"/>
    <col min="2" max="2" width="15.109375" style="206" customWidth="1"/>
    <col min="3" max="3" width="13.44140625" style="206" customWidth="1"/>
    <col min="4" max="4" width="13.6640625" style="206" customWidth="1"/>
    <col min="5" max="5" width="14.88671875" style="206" customWidth="1"/>
    <col min="6" max="6" width="8.33203125" style="206" customWidth="1"/>
    <col min="7" max="7" width="9.109375" style="206" customWidth="1"/>
    <col min="8" max="8" width="9.109375" style="206" hidden="1" customWidth="1"/>
    <col min="9" max="9" width="9.109375" style="206" customWidth="1"/>
    <col min="10" max="10" width="9.109375" style="206"/>
    <col min="11" max="11" width="14.88671875" style="206" customWidth="1"/>
    <col min="12" max="13" width="9.109375" style="206" customWidth="1"/>
    <col min="14" max="14" width="9.109375" style="206" hidden="1" customWidth="1"/>
    <col min="15" max="15" width="9.109375" style="206" customWidth="1"/>
    <col min="16" max="16" width="9.109375" style="206"/>
    <col min="17" max="17" width="9.44140625" style="206" bestFit="1" customWidth="1"/>
    <col min="18" max="18" width="9.109375" style="206"/>
    <col min="19" max="19" width="11.5546875" style="206" customWidth="1"/>
    <col min="20" max="20" width="11.109375" style="206" customWidth="1"/>
    <col min="21" max="16384" width="9.109375" style="206"/>
  </cols>
  <sheetData>
    <row r="1" spans="1:24" ht="21.75" customHeight="1" thickBot="1">
      <c r="A1" s="332"/>
      <c r="B1" s="609" t="s">
        <v>158</v>
      </c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</row>
    <row r="2" spans="1:24" s="77" customFormat="1" ht="15" customHeight="1" thickBot="1">
      <c r="B2" s="629" t="s">
        <v>44</v>
      </c>
      <c r="C2" s="630"/>
      <c r="D2" s="631"/>
      <c r="E2" s="619" t="s">
        <v>45</v>
      </c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1"/>
    </row>
    <row r="3" spans="1:24" ht="22.5" customHeight="1" thickBot="1">
      <c r="B3" s="409" t="s">
        <v>46</v>
      </c>
      <c r="C3" s="624" t="s">
        <v>77</v>
      </c>
      <c r="D3" s="625"/>
      <c r="E3" s="626" t="s">
        <v>47</v>
      </c>
      <c r="F3" s="627"/>
      <c r="G3" s="627"/>
      <c r="H3" s="627"/>
      <c r="I3" s="627"/>
      <c r="J3" s="628"/>
      <c r="K3" s="626" t="s">
        <v>48</v>
      </c>
      <c r="L3" s="627"/>
      <c r="M3" s="627"/>
      <c r="N3" s="627"/>
      <c r="O3" s="627"/>
      <c r="P3" s="628"/>
      <c r="S3" s="610" t="s">
        <v>106</v>
      </c>
      <c r="T3" s="611"/>
      <c r="U3" s="612" t="s">
        <v>107</v>
      </c>
      <c r="V3" s="613"/>
      <c r="W3" s="614" t="s">
        <v>108</v>
      </c>
      <c r="X3" s="615"/>
    </row>
    <row r="4" spans="1:24" ht="17.25" customHeight="1" thickBot="1">
      <c r="B4" s="486" t="s">
        <v>14</v>
      </c>
      <c r="C4" s="253" t="s">
        <v>74</v>
      </c>
      <c r="D4" s="255" t="s">
        <v>73</v>
      </c>
      <c r="E4" s="207" t="s">
        <v>49</v>
      </c>
      <c r="F4" s="208" t="s">
        <v>50</v>
      </c>
      <c r="G4" s="208" t="s">
        <v>51</v>
      </c>
      <c r="H4" s="208" t="s">
        <v>52</v>
      </c>
      <c r="I4" s="208" t="s">
        <v>53</v>
      </c>
      <c r="J4" s="209" t="s">
        <v>54</v>
      </c>
      <c r="K4" s="207" t="s">
        <v>49</v>
      </c>
      <c r="L4" s="208" t="s">
        <v>50</v>
      </c>
      <c r="M4" s="208" t="s">
        <v>51</v>
      </c>
      <c r="N4" s="208" t="s">
        <v>52</v>
      </c>
      <c r="O4" s="208" t="s">
        <v>53</v>
      </c>
      <c r="P4" s="261" t="s">
        <v>54</v>
      </c>
      <c r="Q4" s="264" t="s">
        <v>72</v>
      </c>
      <c r="R4" s="534" t="s">
        <v>54</v>
      </c>
      <c r="S4" s="314" t="s">
        <v>104</v>
      </c>
      <c r="T4" s="315" t="s">
        <v>105</v>
      </c>
      <c r="U4" s="318" t="s">
        <v>47</v>
      </c>
      <c r="V4" s="455" t="s">
        <v>48</v>
      </c>
      <c r="W4" s="314" t="s">
        <v>47</v>
      </c>
      <c r="X4" s="315" t="s">
        <v>48</v>
      </c>
    </row>
    <row r="5" spans="1:24" ht="12.9" customHeight="1">
      <c r="B5" s="487">
        <f>FORMAT_V!$B$4</f>
        <v>57.734999999999999</v>
      </c>
      <c r="C5" s="489">
        <f>FORMAT_V!$I$4</f>
        <v>-57735</v>
      </c>
      <c r="D5" s="490">
        <f>FORMAT_V!$L$4</f>
        <v>-57735</v>
      </c>
      <c r="E5" s="200">
        <f>FORMAT_V!$I$5</f>
        <v>0</v>
      </c>
      <c r="F5" s="199">
        <f>E5/10^0.5</f>
        <v>0</v>
      </c>
      <c r="G5" s="199">
        <f>100*(0.000042*$B$5+0)/$B$5</f>
        <v>4.2000000000000006E-3</v>
      </c>
      <c r="H5" s="199"/>
      <c r="I5" s="199">
        <f>100*0.0001/2/$B$5</f>
        <v>8.6602580756906563E-5</v>
      </c>
      <c r="J5" s="210">
        <f>2*(F5^2+G5^2/4+H5^2/3+I5^2/3)^0.5</f>
        <v>4.2011903086298071E-3</v>
      </c>
      <c r="K5" s="200">
        <f>FORMAT_V!$L$5</f>
        <v>0</v>
      </c>
      <c r="L5" s="199">
        <f>K5/10^0.5</f>
        <v>0</v>
      </c>
      <c r="M5" s="199">
        <f>100*(0.000042*$B$5+0)/$B$5</f>
        <v>4.2000000000000006E-3</v>
      </c>
      <c r="N5" s="199"/>
      <c r="O5" s="199">
        <f>100*0.0001/2/$B$5</f>
        <v>8.6602580756906563E-5</v>
      </c>
      <c r="P5" s="259">
        <f>2*(L5^2+M5^2/4+N5^2/3+O5^2/3)^0.5</f>
        <v>4.2011903086298071E-3</v>
      </c>
      <c r="Q5" s="262">
        <f>P5*0.01*B5*1000</f>
        <v>2.4255572246874193</v>
      </c>
      <c r="R5" s="535">
        <f>IF(P5&gt;J5,P5,J5)</f>
        <v>4.2011903086298071E-3</v>
      </c>
      <c r="S5" s="312">
        <f>0.0005*$B$5*1000</f>
        <v>28.8675</v>
      </c>
      <c r="T5" s="458">
        <f>0.001*$B$5*1000</f>
        <v>57.734999999999999</v>
      </c>
      <c r="U5" s="319" t="b">
        <f>IF(ABS(C5)&lt;S5,TRUE,FALSE)</f>
        <v>0</v>
      </c>
      <c r="V5" s="467" t="b">
        <f>IF(ABS(D5)&lt;S5,TRUE,FALSE)</f>
        <v>0</v>
      </c>
      <c r="W5" s="463" t="b">
        <f>IF(ABS(C5)&lt;T5,TRUE,FALSE)</f>
        <v>0</v>
      </c>
      <c r="X5" s="316" t="b">
        <f>IF(ABS(D5)&lt;T5,TRUE,FALSE)</f>
        <v>0</v>
      </c>
    </row>
    <row r="6" spans="1:24" ht="12.9" customHeight="1" thickBot="1">
      <c r="B6" s="488">
        <f>FORMAT_V!$B$17</f>
        <v>72.168800000000019</v>
      </c>
      <c r="C6" s="491">
        <f>FORMAT_V!$I$17</f>
        <v>-72168.800000000017</v>
      </c>
      <c r="D6" s="492">
        <f>FORMAT_V!$L$17</f>
        <v>-72168.800000000017</v>
      </c>
      <c r="E6" s="201">
        <f>FORMAT_V!$I$18</f>
        <v>2.1254427785658312E-14</v>
      </c>
      <c r="F6" s="211">
        <f t="shared" ref="F6" si="0">E6/10^0.5</f>
        <v>6.7212402166249354E-15</v>
      </c>
      <c r="G6" s="212">
        <f>100*(0.000042*$B$6+0.0008)/$B$6</f>
        <v>5.3085122656882193E-3</v>
      </c>
      <c r="H6" s="211"/>
      <c r="I6" s="211">
        <f>100*0.0001/2/$B$6</f>
        <v>6.9282016605513722E-5</v>
      </c>
      <c r="J6" s="213">
        <f t="shared" ref="J6" si="1">2*(F6^2+G6^2/4+H6^2/3+I6^2/3)^0.5</f>
        <v>5.3091150366197729E-3</v>
      </c>
      <c r="K6" s="201">
        <f>FORMAT_V!$L$18</f>
        <v>2.1254427785658312E-14</v>
      </c>
      <c r="L6" s="211">
        <f t="shared" ref="L6" si="2">K6/10^0.5</f>
        <v>6.7212402166249354E-15</v>
      </c>
      <c r="M6" s="212">
        <f>100*(0.000042*$B$6+0.0008)/$B$6</f>
        <v>5.3085122656882193E-3</v>
      </c>
      <c r="N6" s="211"/>
      <c r="O6" s="211">
        <f>100*0.0001/2/$B$6</f>
        <v>6.9282016605513722E-5</v>
      </c>
      <c r="P6" s="260">
        <f t="shared" ref="P6" si="3">2*(L6^2+M6^2/4+N6^2/3+O6^2/3)^0.5</f>
        <v>5.3091150366197729E-3</v>
      </c>
      <c r="Q6" s="263">
        <f>P6*0.01*B6*1000</f>
        <v>3.8315246125480518</v>
      </c>
      <c r="R6" s="531">
        <f t="shared" ref="R6" si="4">IF(P6&gt;J6,P6,J6)</f>
        <v>5.3091150366197729E-3</v>
      </c>
      <c r="S6" s="313">
        <f>0.0005*$B$5*1000</f>
        <v>28.8675</v>
      </c>
      <c r="T6" s="462">
        <f>0.001*$B$5*1000</f>
        <v>57.734999999999999</v>
      </c>
      <c r="U6" s="320" t="b">
        <f>IF(ABS(C6)&lt;S6,TRUE,FALSE)</f>
        <v>0</v>
      </c>
      <c r="V6" s="468" t="b">
        <f>IF(ABS(D6)&lt;S6,TRUE,FALSE)</f>
        <v>0</v>
      </c>
      <c r="W6" s="464" t="b">
        <f>IF(ABS(C6)&lt;T6,TRUE,FALSE)</f>
        <v>0</v>
      </c>
      <c r="X6" s="317" t="b">
        <f>IF(ABS(D6)&lt;T6,TRUE,FALSE)</f>
        <v>0</v>
      </c>
    </row>
    <row r="8" spans="1:24" ht="12" thickBot="1"/>
    <row r="9" spans="1:24" s="77" customFormat="1" ht="14.25" customHeight="1" thickBot="1">
      <c r="B9" s="629" t="s">
        <v>55</v>
      </c>
      <c r="C9" s="630"/>
      <c r="D9" s="631"/>
      <c r="E9" s="619" t="s">
        <v>56</v>
      </c>
      <c r="F9" s="620"/>
      <c r="G9" s="620"/>
      <c r="H9" s="620"/>
      <c r="I9" s="620"/>
      <c r="J9" s="620"/>
      <c r="K9" s="620"/>
      <c r="L9" s="620"/>
      <c r="M9" s="620"/>
      <c r="N9" s="620"/>
      <c r="O9" s="620"/>
      <c r="P9" s="621"/>
    </row>
    <row r="10" spans="1:24" ht="24.75" customHeight="1" thickBot="1">
      <c r="B10" s="409" t="s">
        <v>46</v>
      </c>
      <c r="C10" s="624" t="s">
        <v>77</v>
      </c>
      <c r="D10" s="625"/>
      <c r="E10" s="626" t="s">
        <v>47</v>
      </c>
      <c r="F10" s="627"/>
      <c r="G10" s="627"/>
      <c r="H10" s="627"/>
      <c r="I10" s="627"/>
      <c r="J10" s="628"/>
      <c r="K10" s="626" t="s">
        <v>48</v>
      </c>
      <c r="L10" s="627"/>
      <c r="M10" s="627"/>
      <c r="N10" s="627"/>
      <c r="O10" s="627"/>
      <c r="P10" s="628"/>
      <c r="S10" s="610" t="s">
        <v>106</v>
      </c>
      <c r="T10" s="611"/>
      <c r="U10" s="612" t="s">
        <v>107</v>
      </c>
      <c r="V10" s="613"/>
      <c r="W10" s="614" t="s">
        <v>108</v>
      </c>
      <c r="X10" s="615"/>
    </row>
    <row r="11" spans="1:24" ht="17.25" customHeight="1" thickBot="1">
      <c r="B11" s="486" t="s">
        <v>14</v>
      </c>
      <c r="C11" s="253" t="s">
        <v>74</v>
      </c>
      <c r="D11" s="255" t="s">
        <v>73</v>
      </c>
      <c r="E11" s="207" t="s">
        <v>49</v>
      </c>
      <c r="F11" s="208" t="s">
        <v>50</v>
      </c>
      <c r="G11" s="208" t="s">
        <v>51</v>
      </c>
      <c r="H11" s="208" t="s">
        <v>52</v>
      </c>
      <c r="I11" s="208" t="s">
        <v>53</v>
      </c>
      <c r="J11" s="209" t="s">
        <v>54</v>
      </c>
      <c r="K11" s="207" t="s">
        <v>49</v>
      </c>
      <c r="L11" s="208" t="s">
        <v>50</v>
      </c>
      <c r="M11" s="208" t="s">
        <v>51</v>
      </c>
      <c r="N11" s="208" t="s">
        <v>52</v>
      </c>
      <c r="O11" s="208" t="s">
        <v>53</v>
      </c>
      <c r="P11" s="209" t="s">
        <v>54</v>
      </c>
      <c r="Q11" s="264" t="s">
        <v>72</v>
      </c>
      <c r="R11" s="534" t="s">
        <v>54</v>
      </c>
      <c r="S11" s="314" t="s">
        <v>104</v>
      </c>
      <c r="T11" s="315" t="s">
        <v>105</v>
      </c>
      <c r="U11" s="318" t="s">
        <v>47</v>
      </c>
      <c r="V11" s="455" t="s">
        <v>48</v>
      </c>
      <c r="W11" s="314" t="s">
        <v>47</v>
      </c>
      <c r="X11" s="315" t="s">
        <v>48</v>
      </c>
    </row>
    <row r="12" spans="1:24" ht="12.9" customHeight="1">
      <c r="B12" s="487">
        <f>FORMAT_V!$B$4</f>
        <v>57.734999999999999</v>
      </c>
      <c r="C12" s="489">
        <f>FORMAT_V!$J$4</f>
        <v>-57735</v>
      </c>
      <c r="D12" s="490">
        <f>FORMAT_V!$M$4</f>
        <v>-57735</v>
      </c>
      <c r="E12" s="200">
        <f>FORMAT_V!$J$5</f>
        <v>0</v>
      </c>
      <c r="F12" s="199">
        <f>E12/10^0.5</f>
        <v>0</v>
      </c>
      <c r="G12" s="199">
        <f>100*(0.000042*$B$5+0)/$B$5</f>
        <v>4.2000000000000006E-3</v>
      </c>
      <c r="H12" s="199"/>
      <c r="I12" s="199">
        <f>100*0.0001/2/$B$12</f>
        <v>8.6602580756906563E-5</v>
      </c>
      <c r="J12" s="210">
        <f>2*(F12^2+G12^2/4+H12^2/3+I12^2/3)^0.5</f>
        <v>4.2011903086298071E-3</v>
      </c>
      <c r="K12" s="200">
        <f>FORMAT_V!$M$5</f>
        <v>0</v>
      </c>
      <c r="L12" s="199">
        <f>K12/10^0.5</f>
        <v>0</v>
      </c>
      <c r="M12" s="199">
        <f>100*(0.000042*$B$5+0)/$B$5</f>
        <v>4.2000000000000006E-3</v>
      </c>
      <c r="N12" s="199"/>
      <c r="O12" s="199">
        <f>100*0.0001/2/$B$12</f>
        <v>8.6602580756906563E-5</v>
      </c>
      <c r="P12" s="210">
        <f>2*(L12^2+M12^2/4+N12^2/3+O12^2/3)^0.5</f>
        <v>4.2011903086298071E-3</v>
      </c>
      <c r="Q12" s="262">
        <f>P12*0.01*B12*1000</f>
        <v>2.4255572246874193</v>
      </c>
      <c r="R12" s="535">
        <f>IF(P12&gt;J12,P12,J12)</f>
        <v>4.2011903086298071E-3</v>
      </c>
      <c r="S12" s="312">
        <f>0.0005*$B$5*1000</f>
        <v>28.8675</v>
      </c>
      <c r="T12" s="458">
        <f>0.001*$B$5*1000</f>
        <v>57.734999999999999</v>
      </c>
      <c r="U12" s="319" t="b">
        <f>IF(ABS(C12)&lt;S12,TRUE,FALSE)</f>
        <v>0</v>
      </c>
      <c r="V12" s="467" t="b">
        <f>IF(ABS(D12)&lt;S12,TRUE,FALSE)</f>
        <v>0</v>
      </c>
      <c r="W12" s="463" t="b">
        <f>IF(ABS(C12)&lt;T12,TRUE,FALSE)</f>
        <v>0</v>
      </c>
      <c r="X12" s="316" t="b">
        <f>IF(ABS(D12)&lt;T12,TRUE,FALSE)</f>
        <v>0</v>
      </c>
    </row>
    <row r="13" spans="1:24" ht="12.9" customHeight="1" thickBot="1">
      <c r="B13" s="488">
        <f>FORMAT_V!$B$17</f>
        <v>72.168800000000019</v>
      </c>
      <c r="C13" s="491">
        <f>FORMAT_V!$J$17</f>
        <v>-72168.800000000017</v>
      </c>
      <c r="D13" s="492">
        <f>FORMAT_V!$M$17</f>
        <v>-72168.800000000017</v>
      </c>
      <c r="E13" s="201">
        <f>FORMAT_V!$J$18</f>
        <v>2.1254427785658312E-14</v>
      </c>
      <c r="F13" s="211">
        <f t="shared" ref="F13" si="5">E13/10^0.5</f>
        <v>6.7212402166249354E-15</v>
      </c>
      <c r="G13" s="212">
        <f>100*(0.000042*$B$6+0.0008)/$B$6</f>
        <v>5.3085122656882193E-3</v>
      </c>
      <c r="H13" s="211"/>
      <c r="I13" s="211">
        <f>100*0.0001/2/$B$13</f>
        <v>6.9282016605513722E-5</v>
      </c>
      <c r="J13" s="213">
        <f t="shared" ref="J13" si="6">2*(F13^2+G13^2/4+H13^2/3+I13^2/3)^0.5</f>
        <v>5.3091150366197729E-3</v>
      </c>
      <c r="K13" s="201">
        <f>FORMAT_V!$M$18</f>
        <v>2.1254427785658312E-14</v>
      </c>
      <c r="L13" s="211">
        <f t="shared" ref="L13" si="7">K13/10^0.5</f>
        <v>6.7212402166249354E-15</v>
      </c>
      <c r="M13" s="212">
        <f>100*(0.000042*$B$6+0.0008)/$B$6</f>
        <v>5.3085122656882193E-3</v>
      </c>
      <c r="N13" s="211"/>
      <c r="O13" s="211">
        <f>100*0.0001/2/$B$13</f>
        <v>6.9282016605513722E-5</v>
      </c>
      <c r="P13" s="213">
        <f t="shared" ref="P13" si="8">2*(L13^2+M13^2/4+N13^2/3+O13^2/3)^0.5</f>
        <v>5.3091150366197729E-3</v>
      </c>
      <c r="Q13" s="263">
        <f>P13*0.01*B13*1000</f>
        <v>3.8315246125480518</v>
      </c>
      <c r="R13" s="531">
        <f t="shared" ref="R13" si="9">IF(P13&gt;J13,P13,J13)</f>
        <v>5.3091150366197729E-3</v>
      </c>
      <c r="S13" s="313">
        <f>0.0005*$B$5*1000</f>
        <v>28.8675</v>
      </c>
      <c r="T13" s="462">
        <f>0.001*$B$5*1000</f>
        <v>57.734999999999999</v>
      </c>
      <c r="U13" s="320" t="b">
        <f>IF(ABS(C13)&lt;S13,TRUE,FALSE)</f>
        <v>0</v>
      </c>
      <c r="V13" s="468" t="b">
        <f>IF(ABS(D13)&lt;S13,TRUE,FALSE)</f>
        <v>0</v>
      </c>
      <c r="W13" s="464" t="b">
        <f>IF(ABS(C13)&lt;T13,TRUE,FALSE)</f>
        <v>0</v>
      </c>
      <c r="X13" s="317" t="b">
        <f>IF(ABS(D13)&lt;T13,TRUE,FALSE)</f>
        <v>0</v>
      </c>
    </row>
    <row r="15" spans="1:24" ht="12" thickBot="1"/>
    <row r="16" spans="1:24" s="77" customFormat="1" ht="15" customHeight="1" thickBot="1">
      <c r="B16" s="629" t="s">
        <v>57</v>
      </c>
      <c r="C16" s="630"/>
      <c r="D16" s="631"/>
      <c r="E16" s="619" t="s">
        <v>58</v>
      </c>
      <c r="F16" s="620"/>
      <c r="G16" s="620"/>
      <c r="H16" s="620"/>
      <c r="I16" s="620"/>
      <c r="J16" s="620"/>
      <c r="K16" s="620"/>
      <c r="L16" s="620"/>
      <c r="M16" s="620"/>
      <c r="N16" s="620"/>
      <c r="O16" s="620"/>
      <c r="P16" s="621"/>
    </row>
    <row r="17" spans="2:24" ht="24.75" customHeight="1" thickBot="1">
      <c r="B17" s="409" t="s">
        <v>46</v>
      </c>
      <c r="C17" s="624" t="s">
        <v>77</v>
      </c>
      <c r="D17" s="625"/>
      <c r="E17" s="626" t="s">
        <v>47</v>
      </c>
      <c r="F17" s="627"/>
      <c r="G17" s="627"/>
      <c r="H17" s="627"/>
      <c r="I17" s="627"/>
      <c r="J17" s="628"/>
      <c r="K17" s="626" t="s">
        <v>48</v>
      </c>
      <c r="L17" s="627"/>
      <c r="M17" s="627"/>
      <c r="N17" s="627"/>
      <c r="O17" s="627"/>
      <c r="P17" s="628"/>
      <c r="S17" s="610" t="s">
        <v>106</v>
      </c>
      <c r="T17" s="611"/>
      <c r="U17" s="612" t="s">
        <v>107</v>
      </c>
      <c r="V17" s="613"/>
      <c r="W17" s="614" t="s">
        <v>108</v>
      </c>
      <c r="X17" s="615"/>
    </row>
    <row r="18" spans="2:24" ht="15.75" customHeight="1" thickBot="1">
      <c r="B18" s="486" t="s">
        <v>14</v>
      </c>
      <c r="C18" s="253" t="s">
        <v>74</v>
      </c>
      <c r="D18" s="255" t="s">
        <v>73</v>
      </c>
      <c r="E18" s="207" t="s">
        <v>49</v>
      </c>
      <c r="F18" s="208" t="s">
        <v>50</v>
      </c>
      <c r="G18" s="208" t="s">
        <v>51</v>
      </c>
      <c r="H18" s="208" t="s">
        <v>52</v>
      </c>
      <c r="I18" s="208" t="s">
        <v>53</v>
      </c>
      <c r="J18" s="209" t="s">
        <v>54</v>
      </c>
      <c r="K18" s="207" t="s">
        <v>49</v>
      </c>
      <c r="L18" s="208" t="s">
        <v>50</v>
      </c>
      <c r="M18" s="208" t="s">
        <v>51</v>
      </c>
      <c r="N18" s="208" t="s">
        <v>52</v>
      </c>
      <c r="O18" s="208" t="s">
        <v>53</v>
      </c>
      <c r="P18" s="209" t="s">
        <v>54</v>
      </c>
      <c r="Q18" s="264" t="s">
        <v>72</v>
      </c>
      <c r="R18" s="534" t="s">
        <v>54</v>
      </c>
      <c r="S18" s="314" t="s">
        <v>104</v>
      </c>
      <c r="T18" s="315" t="s">
        <v>105</v>
      </c>
      <c r="U18" s="318" t="s">
        <v>47</v>
      </c>
      <c r="V18" s="455" t="s">
        <v>48</v>
      </c>
      <c r="W18" s="314" t="s">
        <v>47</v>
      </c>
      <c r="X18" s="315" t="s">
        <v>48</v>
      </c>
    </row>
    <row r="19" spans="2:24" ht="12.9" customHeight="1">
      <c r="B19" s="487">
        <f>FORMAT_V!$B$4</f>
        <v>57.734999999999999</v>
      </c>
      <c r="C19" s="489">
        <f>FORMAT_V!$K$4</f>
        <v>-57735</v>
      </c>
      <c r="D19" s="490">
        <f>FORMAT_V!$N$4</f>
        <v>-57735</v>
      </c>
      <c r="E19" s="200">
        <f>FORMAT_V!$K$5</f>
        <v>0</v>
      </c>
      <c r="F19" s="199">
        <f>E19/10^0.5</f>
        <v>0</v>
      </c>
      <c r="G19" s="199">
        <f>100*(0.000042*$B$5+0)/$B$5</f>
        <v>4.2000000000000006E-3</v>
      </c>
      <c r="H19" s="199"/>
      <c r="I19" s="199">
        <f>100*0.0001/2/$B$19</f>
        <v>8.6602580756906563E-5</v>
      </c>
      <c r="J19" s="210">
        <f>2*(F19^2+G19^2/4+H19^2/3+I19^2/3)^0.5</f>
        <v>4.2011903086298071E-3</v>
      </c>
      <c r="K19" s="200">
        <f>FORMAT_V!$N$5</f>
        <v>0</v>
      </c>
      <c r="L19" s="199">
        <f>K19/10^0.5</f>
        <v>0</v>
      </c>
      <c r="M19" s="199">
        <f>100*(0.000042*$B$5+0)/$B$5</f>
        <v>4.2000000000000006E-3</v>
      </c>
      <c r="N19" s="199"/>
      <c r="O19" s="199">
        <f>100*0.0001/2/$B$19</f>
        <v>8.6602580756906563E-5</v>
      </c>
      <c r="P19" s="210">
        <f>2*(L19^2+M19^2/4+N19^2/3+O19^2/3)^0.5</f>
        <v>4.2011903086298071E-3</v>
      </c>
      <c r="Q19" s="262">
        <f>P19*0.01*B19*1000</f>
        <v>2.4255572246874193</v>
      </c>
      <c r="R19" s="535">
        <f>IF(P19&gt;J19,P19,J19)</f>
        <v>4.2011903086298071E-3</v>
      </c>
      <c r="S19" s="312">
        <f>0.0005*$B$5*1000</f>
        <v>28.8675</v>
      </c>
      <c r="T19" s="458">
        <f>0.001*$B$5*1000</f>
        <v>57.734999999999999</v>
      </c>
      <c r="U19" s="319" t="b">
        <f>IF(ABS(C19)&lt;S19,TRUE,FALSE)</f>
        <v>0</v>
      </c>
      <c r="V19" s="467" t="b">
        <f>IF(ABS(D19)&lt;S19,TRUE,FALSE)</f>
        <v>0</v>
      </c>
      <c r="W19" s="463" t="b">
        <f>IF(ABS(C19)&lt;T19,TRUE,FALSE)</f>
        <v>0</v>
      </c>
      <c r="X19" s="316" t="b">
        <f>IF(ABS(D19)&lt;T19,TRUE,FALSE)</f>
        <v>0</v>
      </c>
    </row>
    <row r="20" spans="2:24" ht="12.9" customHeight="1" thickBot="1">
      <c r="B20" s="488">
        <f>FORMAT_V!$B$17</f>
        <v>72.168800000000019</v>
      </c>
      <c r="C20" s="491">
        <f>FORMAT_V!$K$17</f>
        <v>-72168.800000000017</v>
      </c>
      <c r="D20" s="492">
        <f>FORMAT_V!$N$17</f>
        <v>-72168.800000000017</v>
      </c>
      <c r="E20" s="201">
        <f>FORMAT_V!$K$18</f>
        <v>2.1254427785658312E-14</v>
      </c>
      <c r="F20" s="211">
        <f t="shared" ref="F20" si="10">E20/10^0.5</f>
        <v>6.7212402166249354E-15</v>
      </c>
      <c r="G20" s="212">
        <f>100*(0.000042*$B$6+0.0008)/$B$6</f>
        <v>5.3085122656882193E-3</v>
      </c>
      <c r="H20" s="211"/>
      <c r="I20" s="211">
        <f>100*0.0001/2/$B$20</f>
        <v>6.9282016605513722E-5</v>
      </c>
      <c r="J20" s="213">
        <f t="shared" ref="J20" si="11">2*(F20^2+G20^2/4+H20^2/3+I20^2/3)^0.5</f>
        <v>5.3091150366197729E-3</v>
      </c>
      <c r="K20" s="201">
        <f>FORMAT_V!$N$18</f>
        <v>2.1254427785658312E-14</v>
      </c>
      <c r="L20" s="211">
        <f t="shared" ref="L20" si="12">K20/10^0.5</f>
        <v>6.7212402166249354E-15</v>
      </c>
      <c r="M20" s="212">
        <f>100*(0.000042*$B$6+0.0008)/$B$6</f>
        <v>5.3085122656882193E-3</v>
      </c>
      <c r="N20" s="211"/>
      <c r="O20" s="211">
        <f>100*0.0001/2/$B$20</f>
        <v>6.9282016605513722E-5</v>
      </c>
      <c r="P20" s="213">
        <f t="shared" ref="P20" si="13">2*(L20^2+M20^2/4+N20^2/3+O20^2/3)^0.5</f>
        <v>5.3091150366197729E-3</v>
      </c>
      <c r="Q20" s="263">
        <f>P20*0.01*B20*1000</f>
        <v>3.8315246125480518</v>
      </c>
      <c r="R20" s="531">
        <f t="shared" ref="R20" si="14">IF(P20&gt;J20,P20,J20)</f>
        <v>5.3091150366197729E-3</v>
      </c>
      <c r="S20" s="313">
        <f>0.0005*$B$5*1000</f>
        <v>28.8675</v>
      </c>
      <c r="T20" s="462">
        <f>0.001*$B$5*1000</f>
        <v>57.734999999999999</v>
      </c>
      <c r="U20" s="320" t="b">
        <f>IF(ABS(C20)&lt;S20,TRUE,FALSE)</f>
        <v>0</v>
      </c>
      <c r="V20" s="468" t="b">
        <f>IF(ABS(D20)&lt;S20,TRUE,FALSE)</f>
        <v>0</v>
      </c>
      <c r="W20" s="464" t="b">
        <f>IF(ABS(C20)&lt;T20,TRUE,FALSE)</f>
        <v>0</v>
      </c>
      <c r="X20" s="317" t="b">
        <f>IF(ABS(D20)&lt;T20,TRUE,FALSE)</f>
        <v>0</v>
      </c>
    </row>
    <row r="21" spans="2:24" ht="12.9" customHeight="1"/>
    <row r="23" spans="2:24" ht="12" customHeight="1"/>
    <row r="24" spans="2:24" ht="12" customHeight="1"/>
    <row r="25" spans="2:24" ht="12" customHeight="1"/>
    <row r="26" spans="2:24" ht="12" customHeight="1"/>
  </sheetData>
  <mergeCells count="25">
    <mergeCell ref="W3:X3"/>
    <mergeCell ref="U10:V10"/>
    <mergeCell ref="W10:X10"/>
    <mergeCell ref="U17:V17"/>
    <mergeCell ref="W17:X17"/>
    <mergeCell ref="S3:T3"/>
    <mergeCell ref="S10:T10"/>
    <mergeCell ref="S17:T17"/>
    <mergeCell ref="U3:V3"/>
    <mergeCell ref="C17:D17"/>
    <mergeCell ref="E17:J17"/>
    <mergeCell ref="K17:P17"/>
    <mergeCell ref="B9:D9"/>
    <mergeCell ref="E9:P9"/>
    <mergeCell ref="C10:D10"/>
    <mergeCell ref="E10:J10"/>
    <mergeCell ref="K10:P10"/>
    <mergeCell ref="B16:D16"/>
    <mergeCell ref="E16:P16"/>
    <mergeCell ref="B1:P1"/>
    <mergeCell ref="B2:D2"/>
    <mergeCell ref="E2:P2"/>
    <mergeCell ref="C3:D3"/>
    <mergeCell ref="E3:J3"/>
    <mergeCell ref="K3:P3"/>
  </mergeCells>
  <pageMargins left="0.7" right="0.7" top="0.75" bottom="0.75" header="0.3" footer="0.3"/>
  <pageSetup paperSize="0" orientation="portrait" horizontalDpi="0" verticalDpi="0" copies="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ayfa8">
    <tabColor rgb="FF00B050"/>
  </sheetPr>
  <dimension ref="A1:X44"/>
  <sheetViews>
    <sheetView zoomScale="80" zoomScaleNormal="80" workbookViewId="0">
      <selection activeCell="R4" sqref="R4:R11"/>
    </sheetView>
  </sheetViews>
  <sheetFormatPr defaultColWidth="9.109375" defaultRowHeight="11.4"/>
  <cols>
    <col min="1" max="1" width="5.109375" style="206" customWidth="1"/>
    <col min="2" max="2" width="14.88671875" style="206" bestFit="1" customWidth="1"/>
    <col min="3" max="3" width="16.88671875" style="206" customWidth="1"/>
    <col min="4" max="4" width="16.33203125" style="206" customWidth="1"/>
    <col min="5" max="5" width="14.88671875" style="206" customWidth="1"/>
    <col min="6" max="7" width="9.109375" style="206" customWidth="1"/>
    <col min="8" max="8" width="9.109375" style="206" hidden="1" customWidth="1"/>
    <col min="9" max="9" width="9.44140625" style="206" customWidth="1"/>
    <col min="10" max="10" width="9.109375" style="206"/>
    <col min="11" max="11" width="14.88671875" style="206" customWidth="1"/>
    <col min="12" max="13" width="9.109375" style="206" customWidth="1"/>
    <col min="14" max="14" width="9.109375" style="206" hidden="1" customWidth="1"/>
    <col min="15" max="15" width="9.109375" style="206" customWidth="1"/>
    <col min="16" max="18" width="9.109375" style="206"/>
    <col min="19" max="19" width="11.5546875" style="206" bestFit="1" customWidth="1"/>
    <col min="20" max="20" width="8.44140625" style="206" bestFit="1" customWidth="1"/>
    <col min="21" max="21" width="9.33203125" style="206" customWidth="1"/>
    <col min="22" max="22" width="9.44140625" style="206" customWidth="1"/>
    <col min="23" max="16384" width="9.109375" style="206"/>
  </cols>
  <sheetData>
    <row r="1" spans="1:24" ht="22.95" customHeight="1" thickBot="1">
      <c r="A1" s="332"/>
      <c r="B1" s="609" t="s">
        <v>159</v>
      </c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</row>
    <row r="2" spans="1:24" s="77" customFormat="1" ht="16.5" customHeight="1" thickBot="1">
      <c r="B2" s="629" t="s">
        <v>44</v>
      </c>
      <c r="C2" s="630"/>
      <c r="D2" s="631"/>
      <c r="E2" s="619" t="s">
        <v>45</v>
      </c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1"/>
    </row>
    <row r="3" spans="1:24" ht="24.75" customHeight="1" thickBot="1">
      <c r="B3" s="409" t="s">
        <v>46</v>
      </c>
      <c r="C3" s="624" t="s">
        <v>77</v>
      </c>
      <c r="D3" s="625"/>
      <c r="E3" s="626" t="s">
        <v>47</v>
      </c>
      <c r="F3" s="627"/>
      <c r="G3" s="627"/>
      <c r="H3" s="627"/>
      <c r="I3" s="627"/>
      <c r="J3" s="628"/>
      <c r="K3" s="626" t="s">
        <v>48</v>
      </c>
      <c r="L3" s="627"/>
      <c r="M3" s="627"/>
      <c r="N3" s="627"/>
      <c r="O3" s="627"/>
      <c r="P3" s="628"/>
      <c r="S3" s="610" t="s">
        <v>109</v>
      </c>
      <c r="T3" s="611"/>
      <c r="U3" s="612" t="s">
        <v>107</v>
      </c>
      <c r="V3" s="613"/>
      <c r="W3" s="614" t="s">
        <v>108</v>
      </c>
      <c r="X3" s="615"/>
    </row>
    <row r="4" spans="1:24" ht="17.25" customHeight="1" thickBot="1">
      <c r="B4" s="493" t="s">
        <v>143</v>
      </c>
      <c r="C4" s="215" t="s">
        <v>75</v>
      </c>
      <c r="D4" s="217" t="s">
        <v>76</v>
      </c>
      <c r="E4" s="290" t="s">
        <v>49</v>
      </c>
      <c r="F4" s="291" t="s">
        <v>50</v>
      </c>
      <c r="G4" s="291" t="s">
        <v>51</v>
      </c>
      <c r="H4" s="291" t="s">
        <v>52</v>
      </c>
      <c r="I4" s="291" t="s">
        <v>53</v>
      </c>
      <c r="J4" s="292" t="s">
        <v>54</v>
      </c>
      <c r="K4" s="290" t="s">
        <v>49</v>
      </c>
      <c r="L4" s="291" t="s">
        <v>50</v>
      </c>
      <c r="M4" s="291" t="s">
        <v>51</v>
      </c>
      <c r="N4" s="291" t="s">
        <v>52</v>
      </c>
      <c r="O4" s="291" t="s">
        <v>53</v>
      </c>
      <c r="P4" s="482" t="s">
        <v>54</v>
      </c>
      <c r="Q4" s="533" t="s">
        <v>86</v>
      </c>
      <c r="R4" s="540" t="s">
        <v>54</v>
      </c>
      <c r="S4" s="314" t="s">
        <v>104</v>
      </c>
      <c r="T4" s="315" t="s">
        <v>105</v>
      </c>
      <c r="U4" s="318" t="s">
        <v>47</v>
      </c>
      <c r="V4" s="455" t="s">
        <v>48</v>
      </c>
      <c r="W4" s="314" t="s">
        <v>47</v>
      </c>
      <c r="X4" s="315" t="s">
        <v>48</v>
      </c>
    </row>
    <row r="5" spans="1:24" ht="12.9" customHeight="1">
      <c r="B5" s="494">
        <f>FORMAT_I!$B$4</f>
        <v>5</v>
      </c>
      <c r="C5" s="9">
        <f>FORMAT_I!$I$4</f>
        <v>-5000</v>
      </c>
      <c r="D5" s="95">
        <f>FORMAT_I!$L$4</f>
        <v>-5000</v>
      </c>
      <c r="E5" s="9">
        <f>FORMAT_I!$I$5</f>
        <v>0</v>
      </c>
      <c r="F5" s="295">
        <f>E5/10^0.5</f>
        <v>0</v>
      </c>
      <c r="G5" s="295">
        <f>100*(0.000049*$B$5+0.00003)/$B$5</f>
        <v>5.4999999999999997E-3</v>
      </c>
      <c r="H5" s="295"/>
      <c r="I5" s="295">
        <f>100*0.00001/2/$B$5</f>
        <v>1E-4</v>
      </c>
      <c r="J5" s="483">
        <f>2*(F5^2+G5^2/4+H5^2/3+I5^2/3)^0.5</f>
        <v>5.5012119876744732E-3</v>
      </c>
      <c r="K5" s="9">
        <f>FORMAT_I!$L$5</f>
        <v>0</v>
      </c>
      <c r="L5" s="295">
        <f>K5/10^0.5</f>
        <v>0</v>
      </c>
      <c r="M5" s="295">
        <f>100*(0.000049*$B$5+0.00003)/$B$5</f>
        <v>5.4999999999999997E-3</v>
      </c>
      <c r="N5" s="295"/>
      <c r="O5" s="295">
        <f>100*0.00001/2/$B$5</f>
        <v>1E-4</v>
      </c>
      <c r="P5" s="483">
        <f>2*(L5^2+M5^2/4+N5^2/3+O5^2/3)^0.5</f>
        <v>5.5012119876744732E-3</v>
      </c>
      <c r="Q5" s="543">
        <f>P5*0.01*B5*1000</f>
        <v>0.27506059938372368</v>
      </c>
      <c r="R5" s="535">
        <f>IF(P5&gt;J5,P5,J5)</f>
        <v>5.5012119876744732E-3</v>
      </c>
      <c r="S5" s="538">
        <f>0.0005*$B$5*1000</f>
        <v>2.5</v>
      </c>
      <c r="T5" s="458">
        <f>0.001*$B$5*1000</f>
        <v>5</v>
      </c>
      <c r="U5" s="319" t="b">
        <f>IF(ABS(C5)&lt;S5,TRUE,FALSE)</f>
        <v>0</v>
      </c>
      <c r="V5" s="467" t="b">
        <f>IF(ABS(D5)&lt;S5,TRUE,FALSE)</f>
        <v>0</v>
      </c>
      <c r="W5" s="463" t="b">
        <f>IF(ABS(C5)&lt;T5,TRUE,FALSE)</f>
        <v>0</v>
      </c>
      <c r="X5" s="316" t="b">
        <f>IF(ABS(D5)&lt;T5,TRUE,FALSE)</f>
        <v>0</v>
      </c>
    </row>
    <row r="6" spans="1:24" ht="12.9" customHeight="1">
      <c r="B6" s="487">
        <f>FORMAT_I!$B$17</f>
        <v>2.5</v>
      </c>
      <c r="C6" s="85">
        <f>FORMAT_I!$I$17</f>
        <v>-2500</v>
      </c>
      <c r="D6" s="96">
        <f>FORMAT_I!$L$17</f>
        <v>-2500</v>
      </c>
      <c r="E6" s="85">
        <f>FORMAT_I!$I$18</f>
        <v>0</v>
      </c>
      <c r="F6" s="199">
        <f t="shared" ref="F6:F11" si="0">E6/10^0.5</f>
        <v>0</v>
      </c>
      <c r="G6" s="199">
        <f>100*(0.000049*$B$6+0.00005)/$B$6</f>
        <v>6.899999999999999E-3</v>
      </c>
      <c r="H6" s="199"/>
      <c r="I6" s="199">
        <f>100*0.00001/2/$B$6</f>
        <v>2.0000000000000001E-4</v>
      </c>
      <c r="J6" s="210">
        <f t="shared" ref="J6:J11" si="1">2*(F6^2+G6^2/4+H6^2/3+I6^2/3)^0.5</f>
        <v>6.9038636525740656E-3</v>
      </c>
      <c r="K6" s="85">
        <f>FORMAT_I!$L$18</f>
        <v>0</v>
      </c>
      <c r="L6" s="199">
        <f t="shared" ref="L6:L11" si="2">K6/10^0.5</f>
        <v>0</v>
      </c>
      <c r="M6" s="199">
        <f>100*(0.000049*$B$6+0.00005)/$B$6</f>
        <v>6.899999999999999E-3</v>
      </c>
      <c r="N6" s="199"/>
      <c r="O6" s="199">
        <f>100*0.00001/2/$B$6</f>
        <v>2.0000000000000001E-4</v>
      </c>
      <c r="P6" s="210">
        <f t="shared" ref="P6:P11" si="3">2*(L6^2+M6^2/4+N6^2/3+O6^2/3)^0.5</f>
        <v>6.9038636525740656E-3</v>
      </c>
      <c r="Q6" s="536">
        <f t="shared" ref="Q6:Q11" si="4">P6*0.01*B6*1000</f>
        <v>0.17259659131435162</v>
      </c>
      <c r="R6" s="541">
        <f t="shared" ref="R6:R11" si="5">IF(P6&gt;J6,P6,J6)</f>
        <v>6.9038636525740656E-3</v>
      </c>
      <c r="S6" s="538">
        <f t="shared" ref="S6:S10" si="6">0.0005*$B$5*1000</f>
        <v>2.5</v>
      </c>
      <c r="T6" s="458">
        <f t="shared" ref="T6:T11" si="7">0.001*$B$5*1000</f>
        <v>5</v>
      </c>
      <c r="U6" s="319" t="b">
        <f t="shared" ref="U6:U11" si="8">IF(ABS(C6)&lt;S6,TRUE,FALSE)</f>
        <v>0</v>
      </c>
      <c r="V6" s="467" t="b">
        <f t="shared" ref="V6:V11" si="9">IF(ABS(D6)&lt;S6,TRUE,FALSE)</f>
        <v>0</v>
      </c>
      <c r="W6" s="463" t="b">
        <f t="shared" ref="W6:W11" si="10">IF(ABS(C6)&lt;T6,TRUE,FALSE)</f>
        <v>0</v>
      </c>
      <c r="X6" s="316" t="b">
        <f t="shared" ref="X6:X11" si="11">IF(ABS(D6)&lt;T6,TRUE,FALSE)</f>
        <v>0</v>
      </c>
    </row>
    <row r="7" spans="1:24" ht="12.9" customHeight="1">
      <c r="B7" s="487">
        <f>FORMAT_I!$B$30</f>
        <v>1</v>
      </c>
      <c r="C7" s="85">
        <f>FORMAT_I!$I$30</f>
        <v>-1000</v>
      </c>
      <c r="D7" s="96">
        <f>FORMAT_I!$L$30</f>
        <v>-1000</v>
      </c>
      <c r="E7" s="85">
        <f>FORMAT_I!$I$31</f>
        <v>0</v>
      </c>
      <c r="F7" s="199">
        <f t="shared" si="0"/>
        <v>0</v>
      </c>
      <c r="G7" s="199">
        <f>100*(0.000047*$B$7+0.000006)/$B$7</f>
        <v>5.3E-3</v>
      </c>
      <c r="H7" s="199"/>
      <c r="I7" s="199">
        <f>100*0.000001/2/$B$7</f>
        <v>4.9999999999999996E-5</v>
      </c>
      <c r="J7" s="210">
        <f t="shared" si="1"/>
        <v>5.3003144560802556E-3</v>
      </c>
      <c r="K7" s="85">
        <f>FORMAT_I!$L$31</f>
        <v>0</v>
      </c>
      <c r="L7" s="199">
        <f t="shared" si="2"/>
        <v>0</v>
      </c>
      <c r="M7" s="199">
        <f>100*(0.000047*$B$7+0.000006)/$B$7</f>
        <v>5.3E-3</v>
      </c>
      <c r="N7" s="199"/>
      <c r="O7" s="199">
        <f>100*0.000001/2/$B$7</f>
        <v>4.9999999999999996E-5</v>
      </c>
      <c r="P7" s="210">
        <f t="shared" si="3"/>
        <v>5.3003144560802556E-3</v>
      </c>
      <c r="Q7" s="274">
        <f t="shared" si="4"/>
        <v>5.3003144560802559E-2</v>
      </c>
      <c r="R7" s="541">
        <f t="shared" si="5"/>
        <v>5.3003144560802556E-3</v>
      </c>
      <c r="S7" s="538">
        <f t="shared" si="6"/>
        <v>2.5</v>
      </c>
      <c r="T7" s="458">
        <f t="shared" si="7"/>
        <v>5</v>
      </c>
      <c r="U7" s="319" t="b">
        <f t="shared" si="8"/>
        <v>0</v>
      </c>
      <c r="V7" s="467" t="b">
        <f t="shared" si="9"/>
        <v>0</v>
      </c>
      <c r="W7" s="463" t="b">
        <f t="shared" si="10"/>
        <v>0</v>
      </c>
      <c r="X7" s="316" t="b">
        <f t="shared" si="11"/>
        <v>0</v>
      </c>
    </row>
    <row r="8" spans="1:24" ht="12.9" customHeight="1">
      <c r="B8" s="487">
        <f>FORMAT_I!$B$43</f>
        <v>0.5</v>
      </c>
      <c r="C8" s="85">
        <f>FORMAT_I!$I$43</f>
        <v>-500</v>
      </c>
      <c r="D8" s="96">
        <f>FORMAT_I!$L$43</f>
        <v>-500</v>
      </c>
      <c r="E8" s="85">
        <f>FORMAT_I!$I$44</f>
        <v>0</v>
      </c>
      <c r="F8" s="199">
        <f t="shared" si="0"/>
        <v>0</v>
      </c>
      <c r="G8" s="199">
        <f>100*(0.000046*$B$8+0.000003)/$B$8</f>
        <v>5.2000000000000006E-3</v>
      </c>
      <c r="H8" s="199"/>
      <c r="I8" s="199">
        <f>100*0.000001/2/$B$8</f>
        <v>9.9999999999999991E-5</v>
      </c>
      <c r="J8" s="210">
        <f t="shared" si="1"/>
        <v>5.2012818932772077E-3</v>
      </c>
      <c r="K8" s="85">
        <f>FORMAT_I!$L$44</f>
        <v>0</v>
      </c>
      <c r="L8" s="199">
        <f t="shared" si="2"/>
        <v>0</v>
      </c>
      <c r="M8" s="199">
        <f>100*(0.000046*$B$8+0.000003)/$B$8</f>
        <v>5.2000000000000006E-3</v>
      </c>
      <c r="N8" s="199"/>
      <c r="O8" s="199">
        <f>100*0.000001/2/$B$8</f>
        <v>9.9999999999999991E-5</v>
      </c>
      <c r="P8" s="210">
        <f t="shared" si="3"/>
        <v>5.2012818932772077E-3</v>
      </c>
      <c r="Q8" s="274">
        <f t="shared" si="4"/>
        <v>2.6006409466386039E-2</v>
      </c>
      <c r="R8" s="541">
        <f t="shared" si="5"/>
        <v>5.2012818932772077E-3</v>
      </c>
      <c r="S8" s="538">
        <f t="shared" si="6"/>
        <v>2.5</v>
      </c>
      <c r="T8" s="458">
        <f t="shared" si="7"/>
        <v>5</v>
      </c>
      <c r="U8" s="319" t="b">
        <f t="shared" si="8"/>
        <v>0</v>
      </c>
      <c r="V8" s="467" t="b">
        <f t="shared" si="9"/>
        <v>0</v>
      </c>
      <c r="W8" s="463" t="b">
        <f t="shared" si="10"/>
        <v>0</v>
      </c>
      <c r="X8" s="316" t="b">
        <f t="shared" si="11"/>
        <v>0</v>
      </c>
    </row>
    <row r="9" spans="1:24" ht="12.9" customHeight="1">
      <c r="B9" s="487">
        <f>FORMAT_I!$B$56</f>
        <v>0.25</v>
      </c>
      <c r="C9" s="85">
        <f>FORMAT_I!$I$56</f>
        <v>-250</v>
      </c>
      <c r="D9" s="96">
        <f>FORMAT_I!$L$56</f>
        <v>-250</v>
      </c>
      <c r="E9" s="85">
        <f>FORMAT_I!$I$57</f>
        <v>0</v>
      </c>
      <c r="F9" s="199">
        <f t="shared" si="0"/>
        <v>0</v>
      </c>
      <c r="G9" s="199">
        <f>100*(0.000046*$B$9+0.0000015)/$B$9</f>
        <v>5.2000000000000006E-3</v>
      </c>
      <c r="H9" s="199"/>
      <c r="I9" s="199">
        <f>100*0.000001/2/$B$9</f>
        <v>1.9999999999999998E-4</v>
      </c>
      <c r="J9" s="210">
        <f t="shared" si="1"/>
        <v>5.2051256789181696E-3</v>
      </c>
      <c r="K9" s="85">
        <f>FORMAT_I!$L$57</f>
        <v>0</v>
      </c>
      <c r="L9" s="199">
        <f t="shared" si="2"/>
        <v>0</v>
      </c>
      <c r="M9" s="199">
        <f>100*(0.000046*$B$9+0.0000015)/$B$9</f>
        <v>5.2000000000000006E-3</v>
      </c>
      <c r="N9" s="199"/>
      <c r="O9" s="199">
        <f>100*0.000001/2/$B$9</f>
        <v>1.9999999999999998E-4</v>
      </c>
      <c r="P9" s="210">
        <f t="shared" si="3"/>
        <v>5.2051256789181696E-3</v>
      </c>
      <c r="Q9" s="274">
        <f t="shared" si="4"/>
        <v>1.3012814197295424E-2</v>
      </c>
      <c r="R9" s="541">
        <f t="shared" si="5"/>
        <v>5.2051256789181696E-3</v>
      </c>
      <c r="S9" s="538">
        <f t="shared" si="6"/>
        <v>2.5</v>
      </c>
      <c r="T9" s="458">
        <f t="shared" si="7"/>
        <v>5</v>
      </c>
      <c r="U9" s="319" t="b">
        <f t="shared" si="8"/>
        <v>0</v>
      </c>
      <c r="V9" s="467" t="b">
        <f t="shared" si="9"/>
        <v>0</v>
      </c>
      <c r="W9" s="463" t="b">
        <f t="shared" si="10"/>
        <v>0</v>
      </c>
      <c r="X9" s="316" t="b">
        <f t="shared" si="11"/>
        <v>0</v>
      </c>
    </row>
    <row r="10" spans="1:24" ht="12.9" customHeight="1">
      <c r="B10" s="487">
        <f>FORMAT_I!$B$69</f>
        <v>9.9999999999999992E-2</v>
      </c>
      <c r="C10" s="85">
        <f>FORMAT_I!$I$69</f>
        <v>-100</v>
      </c>
      <c r="D10" s="96">
        <f>FORMAT_I!$L$69</f>
        <v>-100</v>
      </c>
      <c r="E10" s="85">
        <f>FORMAT_I!$I$70</f>
        <v>0</v>
      </c>
      <c r="F10" s="199">
        <f t="shared" si="0"/>
        <v>0</v>
      </c>
      <c r="G10" s="199">
        <f>100*(0.000046*$B$10+0.0000025)/$B$10</f>
        <v>7.1000000000000004E-3</v>
      </c>
      <c r="H10" s="199"/>
      <c r="I10" s="199">
        <f>100*0.000001/2/$B$10</f>
        <v>5.0000000000000001E-4</v>
      </c>
      <c r="J10" s="210">
        <f t="shared" si="1"/>
        <v>7.1234355007491531E-3</v>
      </c>
      <c r="K10" s="85">
        <f>FORMAT_I!$L$70</f>
        <v>0</v>
      </c>
      <c r="L10" s="199">
        <f t="shared" si="2"/>
        <v>0</v>
      </c>
      <c r="M10" s="199">
        <f>100*(0.000046*$B$10+0.0000025)/$B$10</f>
        <v>7.1000000000000004E-3</v>
      </c>
      <c r="N10" s="199"/>
      <c r="O10" s="199">
        <f>100*0.000001/2/$B$10</f>
        <v>5.0000000000000001E-4</v>
      </c>
      <c r="P10" s="210">
        <f t="shared" si="3"/>
        <v>7.1234355007491531E-3</v>
      </c>
      <c r="Q10" s="274">
        <f t="shared" si="4"/>
        <v>7.1234355007491522E-3</v>
      </c>
      <c r="R10" s="541">
        <f t="shared" si="5"/>
        <v>7.1234355007491531E-3</v>
      </c>
      <c r="S10" s="538">
        <f t="shared" si="6"/>
        <v>2.5</v>
      </c>
      <c r="T10" s="458">
        <f t="shared" si="7"/>
        <v>5</v>
      </c>
      <c r="U10" s="319" t="b">
        <f t="shared" si="8"/>
        <v>0</v>
      </c>
      <c r="V10" s="467" t="b">
        <f t="shared" si="9"/>
        <v>0</v>
      </c>
      <c r="W10" s="463" t="b">
        <f t="shared" si="10"/>
        <v>0</v>
      </c>
      <c r="X10" s="316" t="b">
        <f t="shared" si="11"/>
        <v>0</v>
      </c>
    </row>
    <row r="11" spans="1:24" ht="12.9" customHeight="1" thickBot="1">
      <c r="B11" s="488">
        <f>FORMAT_I!$B$82</f>
        <v>4.9999999999999996E-2</v>
      </c>
      <c r="C11" s="86">
        <f>FORMAT_I!$I$82</f>
        <v>-50</v>
      </c>
      <c r="D11" s="97">
        <f>FORMAT_I!$L$82</f>
        <v>-50</v>
      </c>
      <c r="E11" s="86">
        <f>FORMAT_I!$I$83</f>
        <v>0</v>
      </c>
      <c r="F11" s="211">
        <f t="shared" si="0"/>
        <v>0</v>
      </c>
      <c r="G11" s="211">
        <f>100*(0.00006*$B$11+0.000005)/$B$11</f>
        <v>1.6E-2</v>
      </c>
      <c r="H11" s="211"/>
      <c r="I11" s="211">
        <f>100*0.000001/2/$B$11</f>
        <v>1E-3</v>
      </c>
      <c r="J11" s="275">
        <f t="shared" si="1"/>
        <v>1.6041612554021287E-2</v>
      </c>
      <c r="K11" s="86">
        <f>FORMAT_I!$L$83</f>
        <v>0</v>
      </c>
      <c r="L11" s="211">
        <f t="shared" si="2"/>
        <v>0</v>
      </c>
      <c r="M11" s="211">
        <f>100*(0.00006*$B$11+0.000005)/$B$11</f>
        <v>1.6E-2</v>
      </c>
      <c r="N11" s="211"/>
      <c r="O11" s="211">
        <f>100*0.000001/2/$B$11</f>
        <v>1E-3</v>
      </c>
      <c r="P11" s="275">
        <f t="shared" si="3"/>
        <v>1.6041612554021287E-2</v>
      </c>
      <c r="Q11" s="537">
        <f t="shared" si="4"/>
        <v>8.0208062770106437E-3</v>
      </c>
      <c r="R11" s="542">
        <f t="shared" si="5"/>
        <v>1.6041612554021287E-2</v>
      </c>
      <c r="S11" s="539">
        <f>0.0005*$B$5*1000</f>
        <v>2.5</v>
      </c>
      <c r="T11" s="462">
        <f t="shared" si="7"/>
        <v>5</v>
      </c>
      <c r="U11" s="320" t="b">
        <f t="shared" si="8"/>
        <v>0</v>
      </c>
      <c r="V11" s="468" t="b">
        <f t="shared" si="9"/>
        <v>0</v>
      </c>
      <c r="W11" s="464" t="b">
        <f t="shared" si="10"/>
        <v>0</v>
      </c>
      <c r="X11" s="317" t="b">
        <f t="shared" si="11"/>
        <v>0</v>
      </c>
    </row>
    <row r="13" spans="1:24" ht="12" thickBot="1"/>
    <row r="14" spans="1:24" s="77" customFormat="1" ht="14.25" customHeight="1" thickBot="1">
      <c r="B14" s="629" t="s">
        <v>55</v>
      </c>
      <c r="C14" s="630"/>
      <c r="D14" s="631"/>
      <c r="E14" s="619" t="s">
        <v>56</v>
      </c>
      <c r="F14" s="620"/>
      <c r="G14" s="620"/>
      <c r="H14" s="620"/>
      <c r="I14" s="620"/>
      <c r="J14" s="620"/>
      <c r="K14" s="620"/>
      <c r="L14" s="620"/>
      <c r="M14" s="620"/>
      <c r="N14" s="620"/>
      <c r="O14" s="620"/>
      <c r="P14" s="621"/>
    </row>
    <row r="15" spans="1:24" ht="23.25" customHeight="1" thickBot="1">
      <c r="B15" s="409" t="s">
        <v>46</v>
      </c>
      <c r="C15" s="624" t="s">
        <v>77</v>
      </c>
      <c r="D15" s="625"/>
      <c r="E15" s="626" t="s">
        <v>47</v>
      </c>
      <c r="F15" s="627"/>
      <c r="G15" s="627"/>
      <c r="H15" s="627"/>
      <c r="I15" s="627"/>
      <c r="J15" s="628"/>
      <c r="K15" s="626" t="s">
        <v>48</v>
      </c>
      <c r="L15" s="627"/>
      <c r="M15" s="627"/>
      <c r="N15" s="627"/>
      <c r="O15" s="627"/>
      <c r="P15" s="628"/>
      <c r="S15" s="610" t="s">
        <v>109</v>
      </c>
      <c r="T15" s="611"/>
      <c r="U15" s="612" t="s">
        <v>107</v>
      </c>
      <c r="V15" s="613"/>
      <c r="W15" s="614" t="s">
        <v>108</v>
      </c>
      <c r="X15" s="615"/>
    </row>
    <row r="16" spans="1:24" ht="19.5" customHeight="1" thickBot="1">
      <c r="B16" s="493" t="s">
        <v>143</v>
      </c>
      <c r="C16" s="215" t="s">
        <v>75</v>
      </c>
      <c r="D16" s="217" t="s">
        <v>76</v>
      </c>
      <c r="E16" s="290" t="s">
        <v>49</v>
      </c>
      <c r="F16" s="291" t="s">
        <v>50</v>
      </c>
      <c r="G16" s="291" t="s">
        <v>51</v>
      </c>
      <c r="H16" s="291" t="s">
        <v>52</v>
      </c>
      <c r="I16" s="291" t="s">
        <v>53</v>
      </c>
      <c r="J16" s="292" t="s">
        <v>54</v>
      </c>
      <c r="K16" s="290" t="s">
        <v>49</v>
      </c>
      <c r="L16" s="291" t="s">
        <v>50</v>
      </c>
      <c r="M16" s="291" t="s">
        <v>51</v>
      </c>
      <c r="N16" s="291" t="s">
        <v>52</v>
      </c>
      <c r="O16" s="291" t="s">
        <v>53</v>
      </c>
      <c r="P16" s="292" t="s">
        <v>54</v>
      </c>
      <c r="Q16" s="533" t="s">
        <v>86</v>
      </c>
      <c r="R16" s="540" t="s">
        <v>54</v>
      </c>
      <c r="S16" s="314" t="s">
        <v>104</v>
      </c>
      <c r="T16" s="315" t="s">
        <v>105</v>
      </c>
      <c r="U16" s="318" t="s">
        <v>47</v>
      </c>
      <c r="V16" s="455" t="s">
        <v>48</v>
      </c>
      <c r="W16" s="314" t="s">
        <v>47</v>
      </c>
      <c r="X16" s="315" t="s">
        <v>48</v>
      </c>
    </row>
    <row r="17" spans="2:24" ht="12.9" customHeight="1">
      <c r="B17" s="494">
        <f>FORMAT_I!$B$4</f>
        <v>5</v>
      </c>
      <c r="C17" s="9">
        <f>FORMAT_I!$J$4</f>
        <v>-5000</v>
      </c>
      <c r="D17" s="95">
        <f>FORMAT_I!$M$4</f>
        <v>-5000</v>
      </c>
      <c r="E17" s="9">
        <f>FORMAT_I!$J$5</f>
        <v>0</v>
      </c>
      <c r="F17" s="295">
        <f>E17/10^0.5</f>
        <v>0</v>
      </c>
      <c r="G17" s="295">
        <f>100*(0.000049*$B$5+0.00003)/$B$5</f>
        <v>5.4999999999999997E-3</v>
      </c>
      <c r="H17" s="295"/>
      <c r="I17" s="295">
        <f>100*0.00001/2/$B$17</f>
        <v>1E-4</v>
      </c>
      <c r="J17" s="483">
        <f>2*(F17^2+G17^2/4+H17^2/3+I17^2/3)^0.5</f>
        <v>5.5012119876744732E-3</v>
      </c>
      <c r="K17" s="9">
        <f>FORMAT_I!$M$5</f>
        <v>0</v>
      </c>
      <c r="L17" s="295">
        <f>K17/10^0.5</f>
        <v>0</v>
      </c>
      <c r="M17" s="295">
        <f>100*(0.000049*$B$5+0.00003)/$B$5</f>
        <v>5.4999999999999997E-3</v>
      </c>
      <c r="N17" s="295"/>
      <c r="O17" s="295">
        <f>100*0.00001/2/$B$17</f>
        <v>1E-4</v>
      </c>
      <c r="P17" s="483">
        <f>2*(L17^2+M17^2/4+N17^2/3+O17^2/3)^0.5</f>
        <v>5.5012119876744732E-3</v>
      </c>
      <c r="Q17" s="544">
        <f>P17*0.01*B17*1000</f>
        <v>0.27506059938372368</v>
      </c>
      <c r="R17" s="535">
        <f>IF(P17&gt;J17,P17,J17)</f>
        <v>5.5012119876744732E-3</v>
      </c>
      <c r="S17" s="312">
        <f>0.0005*$B$5*1000</f>
        <v>2.5</v>
      </c>
      <c r="T17" s="458">
        <f>0.001*$B$5*1000</f>
        <v>5</v>
      </c>
      <c r="U17" s="319" t="b">
        <f>IF(ABS(C17)&lt;S17,TRUE,FALSE)</f>
        <v>0</v>
      </c>
      <c r="V17" s="467" t="b">
        <f>IF(ABS(D17)&lt;S17,TRUE,FALSE)</f>
        <v>0</v>
      </c>
      <c r="W17" s="463" t="b">
        <f>IF(ABS(C17)&lt;T17,TRUE,FALSE)</f>
        <v>0</v>
      </c>
      <c r="X17" s="316" t="b">
        <f>IF(ABS(D17)&lt;T17,TRUE,FALSE)</f>
        <v>0</v>
      </c>
    </row>
    <row r="18" spans="2:24" ht="12.9" customHeight="1">
      <c r="B18" s="487">
        <f>FORMAT_I!$B$17</f>
        <v>2.5</v>
      </c>
      <c r="C18" s="85">
        <f>FORMAT_I!$J$17</f>
        <v>-2500</v>
      </c>
      <c r="D18" s="96">
        <f>FORMAT_I!$M$17</f>
        <v>-2500</v>
      </c>
      <c r="E18" s="85">
        <f>FORMAT_I!$J$18</f>
        <v>0</v>
      </c>
      <c r="F18" s="199">
        <f t="shared" ref="F18:F23" si="12">E18/10^0.5</f>
        <v>0</v>
      </c>
      <c r="G18" s="199">
        <f>100*(0.000049*$B$6+0.00005)/$B$6</f>
        <v>6.899999999999999E-3</v>
      </c>
      <c r="H18" s="199"/>
      <c r="I18" s="199">
        <f>100*0.00001/2/$B$18</f>
        <v>2.0000000000000001E-4</v>
      </c>
      <c r="J18" s="210">
        <f t="shared" ref="J18:J23" si="13">2*(F18^2+G18^2/4+H18^2/3+I18^2/3)^0.5</f>
        <v>6.9038636525740656E-3</v>
      </c>
      <c r="K18" s="85">
        <f>FORMAT_I!$M$18</f>
        <v>0</v>
      </c>
      <c r="L18" s="199">
        <f t="shared" ref="L18:L23" si="14">K18/10^0.5</f>
        <v>0</v>
      </c>
      <c r="M18" s="199">
        <f>100*(0.000049*$B$6+0.00005)/$B$6</f>
        <v>6.899999999999999E-3</v>
      </c>
      <c r="N18" s="199"/>
      <c r="O18" s="199">
        <f>100*0.00001/2/$B$18</f>
        <v>2.0000000000000001E-4</v>
      </c>
      <c r="P18" s="210">
        <f t="shared" ref="P18:P23" si="15">2*(L18^2+M18^2/4+N18^2/3+O18^2/3)^0.5</f>
        <v>6.9038636525740656E-3</v>
      </c>
      <c r="Q18" s="265">
        <f t="shared" ref="Q18:Q23" si="16">P18*0.01*B18*1000</f>
        <v>0.17259659131435162</v>
      </c>
      <c r="R18" s="541">
        <f t="shared" ref="R18:R23" si="17">IF(P18&gt;J18,P18,J18)</f>
        <v>6.9038636525740656E-3</v>
      </c>
      <c r="S18" s="312">
        <f t="shared" ref="S18:S23" si="18">0.0005*$B$5*1000</f>
        <v>2.5</v>
      </c>
      <c r="T18" s="458">
        <f t="shared" ref="T18:T23" si="19">0.001*$B$5*1000</f>
        <v>5</v>
      </c>
      <c r="U18" s="319" t="b">
        <f t="shared" ref="U18:U23" si="20">IF(ABS(C18)&lt;S18,TRUE,FALSE)</f>
        <v>0</v>
      </c>
      <c r="V18" s="467" t="b">
        <f t="shared" ref="V18:V23" si="21">IF(ABS(D18)&lt;S18,TRUE,FALSE)</f>
        <v>0</v>
      </c>
      <c r="W18" s="463" t="b">
        <f t="shared" ref="W18:W23" si="22">IF(ABS(C18)&lt;T18,TRUE,FALSE)</f>
        <v>0</v>
      </c>
      <c r="X18" s="316" t="b">
        <f t="shared" ref="X18:X23" si="23">IF(ABS(D18)&lt;T18,TRUE,FALSE)</f>
        <v>0</v>
      </c>
    </row>
    <row r="19" spans="2:24" ht="12.9" customHeight="1">
      <c r="B19" s="487">
        <f>FORMAT_I!$B$30</f>
        <v>1</v>
      </c>
      <c r="C19" s="85">
        <f>FORMAT_I!$J$30</f>
        <v>-1000</v>
      </c>
      <c r="D19" s="96">
        <f>FORMAT_I!$M$30</f>
        <v>-1000</v>
      </c>
      <c r="E19" s="85">
        <f>FORMAT_I!$J$31</f>
        <v>0</v>
      </c>
      <c r="F19" s="199">
        <f t="shared" si="12"/>
        <v>0</v>
      </c>
      <c r="G19" s="199">
        <f>100*(0.000047*$B$7+0.000006)/$B$7</f>
        <v>5.3E-3</v>
      </c>
      <c r="H19" s="199"/>
      <c r="I19" s="199">
        <f>100*0.000001/2/$B$19</f>
        <v>4.9999999999999996E-5</v>
      </c>
      <c r="J19" s="210">
        <f t="shared" si="13"/>
        <v>5.3003144560802556E-3</v>
      </c>
      <c r="K19" s="85">
        <f>FORMAT_I!$M$31</f>
        <v>0</v>
      </c>
      <c r="L19" s="199">
        <f t="shared" si="14"/>
        <v>0</v>
      </c>
      <c r="M19" s="199">
        <f>100*(0.000047*$B$7+0.000006)/$B$7</f>
        <v>5.3E-3</v>
      </c>
      <c r="N19" s="199"/>
      <c r="O19" s="199">
        <f>100*0.000001/2/$B$19</f>
        <v>4.9999999999999996E-5</v>
      </c>
      <c r="P19" s="210">
        <f t="shared" si="15"/>
        <v>5.3003144560802556E-3</v>
      </c>
      <c r="Q19" s="266">
        <f t="shared" si="16"/>
        <v>5.3003144560802559E-2</v>
      </c>
      <c r="R19" s="541">
        <f t="shared" si="17"/>
        <v>5.3003144560802556E-3</v>
      </c>
      <c r="S19" s="312">
        <f t="shared" si="18"/>
        <v>2.5</v>
      </c>
      <c r="T19" s="458">
        <f t="shared" si="19"/>
        <v>5</v>
      </c>
      <c r="U19" s="319" t="b">
        <f t="shared" si="20"/>
        <v>0</v>
      </c>
      <c r="V19" s="467" t="b">
        <f t="shared" si="21"/>
        <v>0</v>
      </c>
      <c r="W19" s="463" t="b">
        <f t="shared" si="22"/>
        <v>0</v>
      </c>
      <c r="X19" s="316" t="b">
        <f t="shared" si="23"/>
        <v>0</v>
      </c>
    </row>
    <row r="20" spans="2:24" ht="12.9" customHeight="1">
      <c r="B20" s="487">
        <f>FORMAT_I!$B$43</f>
        <v>0.5</v>
      </c>
      <c r="C20" s="85">
        <f>FORMAT_I!$J$43</f>
        <v>-500</v>
      </c>
      <c r="D20" s="96">
        <f>FORMAT_I!$M$43</f>
        <v>-500</v>
      </c>
      <c r="E20" s="85">
        <f>FORMAT_I!$J$44</f>
        <v>0</v>
      </c>
      <c r="F20" s="199">
        <f t="shared" si="12"/>
        <v>0</v>
      </c>
      <c r="G20" s="199">
        <f>100*(0.000046*$B$8+0.000003)/$B$8</f>
        <v>5.2000000000000006E-3</v>
      </c>
      <c r="H20" s="199"/>
      <c r="I20" s="199">
        <f>100*0.000001/2/$B$20</f>
        <v>9.9999999999999991E-5</v>
      </c>
      <c r="J20" s="210">
        <f t="shared" si="13"/>
        <v>5.2012818932772077E-3</v>
      </c>
      <c r="K20" s="85">
        <f>FORMAT_I!$M$44</f>
        <v>0</v>
      </c>
      <c r="L20" s="199">
        <f t="shared" si="14"/>
        <v>0</v>
      </c>
      <c r="M20" s="199">
        <f>100*(0.000046*$B$8+0.000003)/$B$8</f>
        <v>5.2000000000000006E-3</v>
      </c>
      <c r="N20" s="199"/>
      <c r="O20" s="199">
        <f>100*0.000001/2/$B$20</f>
        <v>9.9999999999999991E-5</v>
      </c>
      <c r="P20" s="210">
        <f t="shared" si="15"/>
        <v>5.2012818932772077E-3</v>
      </c>
      <c r="Q20" s="266">
        <f t="shared" si="16"/>
        <v>2.6006409466386039E-2</v>
      </c>
      <c r="R20" s="541">
        <f t="shared" si="17"/>
        <v>5.2012818932772077E-3</v>
      </c>
      <c r="S20" s="312">
        <f t="shared" si="18"/>
        <v>2.5</v>
      </c>
      <c r="T20" s="458">
        <f t="shared" si="19"/>
        <v>5</v>
      </c>
      <c r="U20" s="319" t="b">
        <f t="shared" si="20"/>
        <v>0</v>
      </c>
      <c r="V20" s="467" t="b">
        <f t="shared" si="21"/>
        <v>0</v>
      </c>
      <c r="W20" s="463" t="b">
        <f t="shared" si="22"/>
        <v>0</v>
      </c>
      <c r="X20" s="316" t="b">
        <f t="shared" si="23"/>
        <v>0</v>
      </c>
    </row>
    <row r="21" spans="2:24" ht="12.9" customHeight="1">
      <c r="B21" s="487">
        <f>FORMAT_I!$B$56</f>
        <v>0.25</v>
      </c>
      <c r="C21" s="85">
        <f>FORMAT_I!$J$56</f>
        <v>-250</v>
      </c>
      <c r="D21" s="96">
        <f>FORMAT_I!$M$56</f>
        <v>-250</v>
      </c>
      <c r="E21" s="85">
        <f>FORMAT_I!$J$57</f>
        <v>0</v>
      </c>
      <c r="F21" s="199">
        <f t="shared" si="12"/>
        <v>0</v>
      </c>
      <c r="G21" s="199">
        <f>100*(0.000046*$B$9+0.0000015)/$B$9</f>
        <v>5.2000000000000006E-3</v>
      </c>
      <c r="H21" s="199"/>
      <c r="I21" s="199">
        <f>100*0.000001/2/$B$21</f>
        <v>1.9999999999999998E-4</v>
      </c>
      <c r="J21" s="210">
        <f t="shared" si="13"/>
        <v>5.2051256789181696E-3</v>
      </c>
      <c r="K21" s="85">
        <f>FORMAT_I!$M$57</f>
        <v>0</v>
      </c>
      <c r="L21" s="199">
        <f t="shared" si="14"/>
        <v>0</v>
      </c>
      <c r="M21" s="199">
        <f>100*(0.000046*$B$9+0.0000015)/$B$9</f>
        <v>5.2000000000000006E-3</v>
      </c>
      <c r="N21" s="199"/>
      <c r="O21" s="199">
        <f>100*0.000001/2/$B$21</f>
        <v>1.9999999999999998E-4</v>
      </c>
      <c r="P21" s="210">
        <f t="shared" si="15"/>
        <v>5.2051256789181696E-3</v>
      </c>
      <c r="Q21" s="266">
        <f t="shared" si="16"/>
        <v>1.3012814197295424E-2</v>
      </c>
      <c r="R21" s="541">
        <f t="shared" si="17"/>
        <v>5.2051256789181696E-3</v>
      </c>
      <c r="S21" s="312">
        <f t="shared" si="18"/>
        <v>2.5</v>
      </c>
      <c r="T21" s="458">
        <f t="shared" si="19"/>
        <v>5</v>
      </c>
      <c r="U21" s="319" t="b">
        <f t="shared" si="20"/>
        <v>0</v>
      </c>
      <c r="V21" s="467" t="b">
        <f t="shared" si="21"/>
        <v>0</v>
      </c>
      <c r="W21" s="463" t="b">
        <f t="shared" si="22"/>
        <v>0</v>
      </c>
      <c r="X21" s="316" t="b">
        <f t="shared" si="23"/>
        <v>0</v>
      </c>
    </row>
    <row r="22" spans="2:24" ht="12.9" customHeight="1">
      <c r="B22" s="487">
        <f>FORMAT_I!$B$69</f>
        <v>9.9999999999999992E-2</v>
      </c>
      <c r="C22" s="85">
        <f>FORMAT_I!$J$69</f>
        <v>-100</v>
      </c>
      <c r="D22" s="96">
        <f>FORMAT_I!$M$69</f>
        <v>-100</v>
      </c>
      <c r="E22" s="85">
        <f>FORMAT_I!$J$70</f>
        <v>0</v>
      </c>
      <c r="F22" s="199">
        <f t="shared" si="12"/>
        <v>0</v>
      </c>
      <c r="G22" s="199">
        <f>100*(0.000046*$B$10+0.0000025)/$B$10</f>
        <v>7.1000000000000004E-3</v>
      </c>
      <c r="H22" s="199"/>
      <c r="I22" s="199">
        <f>100*0.000001/2/$B$22</f>
        <v>5.0000000000000001E-4</v>
      </c>
      <c r="J22" s="210">
        <f t="shared" si="13"/>
        <v>7.1234355007491531E-3</v>
      </c>
      <c r="K22" s="85">
        <f>FORMAT_I!$M$70</f>
        <v>0</v>
      </c>
      <c r="L22" s="199">
        <f t="shared" si="14"/>
        <v>0</v>
      </c>
      <c r="M22" s="199">
        <f>100*(0.000046*$B$10+0.0000025)/$B$10</f>
        <v>7.1000000000000004E-3</v>
      </c>
      <c r="N22" s="199"/>
      <c r="O22" s="199">
        <f>100*0.000001/2/$B$22</f>
        <v>5.0000000000000001E-4</v>
      </c>
      <c r="P22" s="210">
        <f t="shared" si="15"/>
        <v>7.1234355007491531E-3</v>
      </c>
      <c r="Q22" s="266">
        <f t="shared" si="16"/>
        <v>7.1234355007491522E-3</v>
      </c>
      <c r="R22" s="541">
        <f t="shared" si="17"/>
        <v>7.1234355007491531E-3</v>
      </c>
      <c r="S22" s="312">
        <f t="shared" si="18"/>
        <v>2.5</v>
      </c>
      <c r="T22" s="458">
        <f t="shared" si="19"/>
        <v>5</v>
      </c>
      <c r="U22" s="319" t="b">
        <f t="shared" si="20"/>
        <v>0</v>
      </c>
      <c r="V22" s="467" t="b">
        <f t="shared" si="21"/>
        <v>0</v>
      </c>
      <c r="W22" s="463" t="b">
        <f t="shared" si="22"/>
        <v>0</v>
      </c>
      <c r="X22" s="316" t="b">
        <f t="shared" si="23"/>
        <v>0</v>
      </c>
    </row>
    <row r="23" spans="2:24" ht="12.9" customHeight="1" thickBot="1">
      <c r="B23" s="488">
        <f>FORMAT_I!$B$82</f>
        <v>4.9999999999999996E-2</v>
      </c>
      <c r="C23" s="86">
        <f>FORMAT_I!$J$82</f>
        <v>-50</v>
      </c>
      <c r="D23" s="97">
        <f>FORMAT_I!$M$82</f>
        <v>-50</v>
      </c>
      <c r="E23" s="86">
        <f>FORMAT_I!$J$83</f>
        <v>0</v>
      </c>
      <c r="F23" s="211">
        <f t="shared" si="12"/>
        <v>0</v>
      </c>
      <c r="G23" s="211">
        <f>100*(0.00006*$B$11+0.000005)/$B$11</f>
        <v>1.6E-2</v>
      </c>
      <c r="H23" s="211"/>
      <c r="I23" s="211">
        <f>100*0.000001/2/$B$23</f>
        <v>1E-3</v>
      </c>
      <c r="J23" s="275">
        <f t="shared" si="13"/>
        <v>1.6041612554021287E-2</v>
      </c>
      <c r="K23" s="86">
        <f>FORMAT_I!$M$83</f>
        <v>0</v>
      </c>
      <c r="L23" s="211">
        <f t="shared" si="14"/>
        <v>0</v>
      </c>
      <c r="M23" s="211">
        <f>100*(0.00006*$B$11+0.000005)/$B$11</f>
        <v>1.6E-2</v>
      </c>
      <c r="N23" s="211"/>
      <c r="O23" s="211">
        <f>100*0.000001/2/$B$23</f>
        <v>1E-3</v>
      </c>
      <c r="P23" s="275">
        <f t="shared" si="15"/>
        <v>1.6041612554021287E-2</v>
      </c>
      <c r="Q23" s="267">
        <f t="shared" si="16"/>
        <v>8.0208062770106437E-3</v>
      </c>
      <c r="R23" s="542">
        <f t="shared" si="17"/>
        <v>1.6041612554021287E-2</v>
      </c>
      <c r="S23" s="313">
        <f t="shared" si="18"/>
        <v>2.5</v>
      </c>
      <c r="T23" s="462">
        <f t="shared" si="19"/>
        <v>5</v>
      </c>
      <c r="U23" s="320" t="b">
        <f t="shared" si="20"/>
        <v>0</v>
      </c>
      <c r="V23" s="468" t="b">
        <f t="shared" si="21"/>
        <v>0</v>
      </c>
      <c r="W23" s="464" t="b">
        <f t="shared" si="22"/>
        <v>0</v>
      </c>
      <c r="X23" s="317" t="b">
        <f t="shared" si="23"/>
        <v>0</v>
      </c>
    </row>
    <row r="25" spans="2:24" ht="12" thickBot="1"/>
    <row r="26" spans="2:24" s="77" customFormat="1" ht="15.75" customHeight="1" thickBot="1">
      <c r="B26" s="629" t="s">
        <v>57</v>
      </c>
      <c r="C26" s="630"/>
      <c r="D26" s="631"/>
      <c r="E26" s="619" t="s">
        <v>58</v>
      </c>
      <c r="F26" s="620"/>
      <c r="G26" s="620"/>
      <c r="H26" s="620"/>
      <c r="I26" s="620"/>
      <c r="J26" s="620"/>
      <c r="K26" s="620"/>
      <c r="L26" s="620"/>
      <c r="M26" s="620"/>
      <c r="N26" s="620"/>
      <c r="O26" s="620"/>
      <c r="P26" s="621"/>
    </row>
    <row r="27" spans="2:24" ht="26.25" customHeight="1" thickBot="1">
      <c r="B27" s="409" t="s">
        <v>46</v>
      </c>
      <c r="C27" s="624" t="s">
        <v>77</v>
      </c>
      <c r="D27" s="625"/>
      <c r="E27" s="626" t="s">
        <v>47</v>
      </c>
      <c r="F27" s="627"/>
      <c r="G27" s="627"/>
      <c r="H27" s="627"/>
      <c r="I27" s="627"/>
      <c r="J27" s="628"/>
      <c r="K27" s="626" t="s">
        <v>48</v>
      </c>
      <c r="L27" s="627"/>
      <c r="M27" s="627"/>
      <c r="N27" s="627"/>
      <c r="O27" s="627"/>
      <c r="P27" s="628"/>
      <c r="S27" s="610" t="s">
        <v>109</v>
      </c>
      <c r="T27" s="611"/>
      <c r="U27" s="612" t="s">
        <v>107</v>
      </c>
      <c r="V27" s="613"/>
      <c r="W27" s="614" t="s">
        <v>108</v>
      </c>
      <c r="X27" s="615"/>
    </row>
    <row r="28" spans="2:24" ht="17.25" customHeight="1" thickBot="1">
      <c r="B28" s="493" t="s">
        <v>143</v>
      </c>
      <c r="C28" s="215" t="s">
        <v>75</v>
      </c>
      <c r="D28" s="217" t="s">
        <v>76</v>
      </c>
      <c r="E28" s="290" t="s">
        <v>49</v>
      </c>
      <c r="F28" s="291" t="s">
        <v>50</v>
      </c>
      <c r="G28" s="291" t="s">
        <v>51</v>
      </c>
      <c r="H28" s="291" t="s">
        <v>52</v>
      </c>
      <c r="I28" s="291" t="s">
        <v>53</v>
      </c>
      <c r="J28" s="292" t="s">
        <v>54</v>
      </c>
      <c r="K28" s="290" t="s">
        <v>49</v>
      </c>
      <c r="L28" s="291" t="s">
        <v>50</v>
      </c>
      <c r="M28" s="291" t="s">
        <v>51</v>
      </c>
      <c r="N28" s="291" t="s">
        <v>52</v>
      </c>
      <c r="O28" s="291" t="s">
        <v>53</v>
      </c>
      <c r="P28" s="292" t="s">
        <v>54</v>
      </c>
      <c r="Q28" s="533" t="s">
        <v>86</v>
      </c>
      <c r="R28" s="540" t="s">
        <v>54</v>
      </c>
      <c r="S28" s="314" t="s">
        <v>104</v>
      </c>
      <c r="T28" s="315" t="s">
        <v>105</v>
      </c>
      <c r="U28" s="318" t="s">
        <v>47</v>
      </c>
      <c r="V28" s="455" t="s">
        <v>48</v>
      </c>
      <c r="W28" s="314" t="s">
        <v>47</v>
      </c>
      <c r="X28" s="315" t="s">
        <v>48</v>
      </c>
    </row>
    <row r="29" spans="2:24" ht="12.9" customHeight="1">
      <c r="B29" s="494">
        <f>FORMAT_I!$B$4</f>
        <v>5</v>
      </c>
      <c r="C29" s="9">
        <f>FORMAT_I!$K$4</f>
        <v>-5000</v>
      </c>
      <c r="D29" s="95">
        <f>FORMAT_I!$N$4</f>
        <v>-5000</v>
      </c>
      <c r="E29" s="9">
        <f>FORMAT_I!$K$5</f>
        <v>0</v>
      </c>
      <c r="F29" s="295">
        <f>E29/10^0.5</f>
        <v>0</v>
      </c>
      <c r="G29" s="295">
        <f>100*(0.000049*$B$5+0.00003)/$B$5</f>
        <v>5.4999999999999997E-3</v>
      </c>
      <c r="H29" s="295"/>
      <c r="I29" s="295">
        <f>100*0.00001/2/$B$29</f>
        <v>1E-4</v>
      </c>
      <c r="J29" s="483">
        <f>2*(F29^2+G29^2/4+H29^2/3+I29^2/3)^0.5</f>
        <v>5.5012119876744732E-3</v>
      </c>
      <c r="K29" s="9">
        <f>FORMAT_I!$N$5</f>
        <v>0</v>
      </c>
      <c r="L29" s="295">
        <f>K29/10^0.5</f>
        <v>0</v>
      </c>
      <c r="M29" s="295">
        <f>100*(0.000049*$B$5+0.00003)/$B$5</f>
        <v>5.4999999999999997E-3</v>
      </c>
      <c r="N29" s="295"/>
      <c r="O29" s="295">
        <f>100*0.00001/2/$B$29</f>
        <v>1E-4</v>
      </c>
      <c r="P29" s="483">
        <f>2*(L29^2+M29^2/4+N29^2/3+O29^2/3)^0.5</f>
        <v>5.5012119876744732E-3</v>
      </c>
      <c r="Q29" s="544">
        <f>P29*0.01*B29*1000</f>
        <v>0.27506059938372368</v>
      </c>
      <c r="R29" s="535">
        <f>IF(P29&gt;J29,P29,J29)</f>
        <v>5.5012119876744732E-3</v>
      </c>
      <c r="S29" s="312">
        <f>0.0005*$B$5*1000</f>
        <v>2.5</v>
      </c>
      <c r="T29" s="458">
        <f>0.001*$B$5*1000</f>
        <v>5</v>
      </c>
      <c r="U29" s="319" t="b">
        <f>IF(ABS(C29)&lt;S29,TRUE,FALSE)</f>
        <v>0</v>
      </c>
      <c r="V29" s="467" t="b">
        <f>IF(ABS(D29)&lt;S29,TRUE,FALSE)</f>
        <v>0</v>
      </c>
      <c r="W29" s="463" t="b">
        <f>IF(ABS(C29)&lt;T29,TRUE,FALSE)</f>
        <v>0</v>
      </c>
      <c r="X29" s="316" t="b">
        <f>IF(ABS(D29)&lt;T29,TRUE,FALSE)</f>
        <v>0</v>
      </c>
    </row>
    <row r="30" spans="2:24" ht="12.9" customHeight="1">
      <c r="B30" s="487">
        <f>FORMAT_I!$B$17</f>
        <v>2.5</v>
      </c>
      <c r="C30" s="85">
        <f>FORMAT_I!$K$17</f>
        <v>-2500</v>
      </c>
      <c r="D30" s="96">
        <f>FORMAT_I!$N$17</f>
        <v>-2500</v>
      </c>
      <c r="E30" s="85">
        <f>FORMAT_I!$K$18</f>
        <v>0</v>
      </c>
      <c r="F30" s="199">
        <f t="shared" ref="F30:F35" si="24">E30/10^0.5</f>
        <v>0</v>
      </c>
      <c r="G30" s="199">
        <f>100*(0.000049*$B$6+0.00005)/$B$6</f>
        <v>6.899999999999999E-3</v>
      </c>
      <c r="H30" s="199"/>
      <c r="I30" s="199">
        <f>100*0.00001/2/$B$30</f>
        <v>2.0000000000000001E-4</v>
      </c>
      <c r="J30" s="210">
        <f t="shared" ref="J30:J35" si="25">2*(F30^2+G30^2/4+H30^2/3+I30^2/3)^0.5</f>
        <v>6.9038636525740656E-3</v>
      </c>
      <c r="K30" s="85">
        <f>FORMAT_I!$N$18</f>
        <v>0</v>
      </c>
      <c r="L30" s="199">
        <f t="shared" ref="L30:L35" si="26">K30/10^0.5</f>
        <v>0</v>
      </c>
      <c r="M30" s="199">
        <f>100*(0.000049*$B$6+0.00005)/$B$6</f>
        <v>6.899999999999999E-3</v>
      </c>
      <c r="N30" s="199"/>
      <c r="O30" s="199">
        <f>100*0.00001/2/$B$30</f>
        <v>2.0000000000000001E-4</v>
      </c>
      <c r="P30" s="210">
        <f t="shared" ref="P30:P35" si="27">2*(L30^2+M30^2/4+N30^2/3+O30^2/3)^0.5</f>
        <v>6.9038636525740656E-3</v>
      </c>
      <c r="Q30" s="265">
        <f t="shared" ref="Q30:Q35" si="28">P30*0.01*B30*1000</f>
        <v>0.17259659131435162</v>
      </c>
      <c r="R30" s="541">
        <f t="shared" ref="R30:R35" si="29">IF(P30&gt;J30,P30,J30)</f>
        <v>6.9038636525740656E-3</v>
      </c>
      <c r="S30" s="312">
        <f t="shared" ref="S30:S35" si="30">0.0005*$B$5*1000</f>
        <v>2.5</v>
      </c>
      <c r="T30" s="458">
        <f t="shared" ref="T30:T35" si="31">0.001*$B$5*1000</f>
        <v>5</v>
      </c>
      <c r="U30" s="319" t="b">
        <f t="shared" ref="U30:U35" si="32">IF(ABS(C30)&lt;S30,TRUE,FALSE)</f>
        <v>0</v>
      </c>
      <c r="V30" s="467" t="b">
        <f t="shared" ref="V30:V35" si="33">IF(ABS(D30)&lt;S30,TRUE,FALSE)</f>
        <v>0</v>
      </c>
      <c r="W30" s="463" t="b">
        <f t="shared" ref="W30:W35" si="34">IF(ABS(C30)&lt;T30,TRUE,FALSE)</f>
        <v>0</v>
      </c>
      <c r="X30" s="316" t="b">
        <f t="shared" ref="X30:X35" si="35">IF(ABS(D30)&lt;T30,TRUE,FALSE)</f>
        <v>0</v>
      </c>
    </row>
    <row r="31" spans="2:24" ht="12.9" customHeight="1">
      <c r="B31" s="487">
        <f>FORMAT_I!$B$30</f>
        <v>1</v>
      </c>
      <c r="C31" s="85">
        <f>FORMAT_I!$K$30</f>
        <v>-1000</v>
      </c>
      <c r="D31" s="96">
        <f>FORMAT_I!$N$30</f>
        <v>-1000</v>
      </c>
      <c r="E31" s="85">
        <f>FORMAT_I!$K$31</f>
        <v>0</v>
      </c>
      <c r="F31" s="199">
        <f t="shared" si="24"/>
        <v>0</v>
      </c>
      <c r="G31" s="199">
        <f>100*(0.000047*$B$7+0.000006)/$B$7</f>
        <v>5.3E-3</v>
      </c>
      <c r="H31" s="199"/>
      <c r="I31" s="199">
        <f>100*0.000001/2/$B$31</f>
        <v>4.9999999999999996E-5</v>
      </c>
      <c r="J31" s="210">
        <f t="shared" si="25"/>
        <v>5.3003144560802556E-3</v>
      </c>
      <c r="K31" s="85">
        <f>FORMAT_I!$N$31</f>
        <v>0</v>
      </c>
      <c r="L31" s="199">
        <f t="shared" si="26"/>
        <v>0</v>
      </c>
      <c r="M31" s="199">
        <f>100*(0.000047*$B$7+0.000006)/$B$7</f>
        <v>5.3E-3</v>
      </c>
      <c r="N31" s="199"/>
      <c r="O31" s="199">
        <f>100*0.000001/2/$B$31</f>
        <v>4.9999999999999996E-5</v>
      </c>
      <c r="P31" s="210">
        <f t="shared" si="27"/>
        <v>5.3003144560802556E-3</v>
      </c>
      <c r="Q31" s="266">
        <f t="shared" si="28"/>
        <v>5.3003144560802559E-2</v>
      </c>
      <c r="R31" s="541">
        <f t="shared" si="29"/>
        <v>5.3003144560802556E-3</v>
      </c>
      <c r="S31" s="312">
        <f t="shared" si="30"/>
        <v>2.5</v>
      </c>
      <c r="T31" s="458">
        <f t="shared" si="31"/>
        <v>5</v>
      </c>
      <c r="U31" s="319" t="b">
        <f t="shared" si="32"/>
        <v>0</v>
      </c>
      <c r="V31" s="467" t="b">
        <f t="shared" si="33"/>
        <v>0</v>
      </c>
      <c r="W31" s="463" t="b">
        <f t="shared" si="34"/>
        <v>0</v>
      </c>
      <c r="X31" s="316" t="b">
        <f t="shared" si="35"/>
        <v>0</v>
      </c>
    </row>
    <row r="32" spans="2:24" ht="12.9" customHeight="1">
      <c r="B32" s="487">
        <f>FORMAT_I!$B$43</f>
        <v>0.5</v>
      </c>
      <c r="C32" s="85">
        <f>FORMAT_I!$K$43</f>
        <v>-500</v>
      </c>
      <c r="D32" s="96">
        <f>FORMAT_I!$N$43</f>
        <v>-500</v>
      </c>
      <c r="E32" s="85">
        <f>FORMAT_I!$K$44</f>
        <v>0</v>
      </c>
      <c r="F32" s="199">
        <f t="shared" si="24"/>
        <v>0</v>
      </c>
      <c r="G32" s="199">
        <f>100*(0.000046*$B$8+0.000003)/$B$8</f>
        <v>5.2000000000000006E-3</v>
      </c>
      <c r="H32" s="199"/>
      <c r="I32" s="199">
        <f>100*0.000001/2/$B$32</f>
        <v>9.9999999999999991E-5</v>
      </c>
      <c r="J32" s="210">
        <f t="shared" si="25"/>
        <v>5.2012818932772077E-3</v>
      </c>
      <c r="K32" s="85">
        <f>FORMAT_I!$N$44</f>
        <v>0</v>
      </c>
      <c r="L32" s="199">
        <f t="shared" si="26"/>
        <v>0</v>
      </c>
      <c r="M32" s="199">
        <f>100*(0.000046*$B$8+0.000003)/$B$8</f>
        <v>5.2000000000000006E-3</v>
      </c>
      <c r="N32" s="199"/>
      <c r="O32" s="199">
        <f>100*0.000001/2/$B$32</f>
        <v>9.9999999999999991E-5</v>
      </c>
      <c r="P32" s="210">
        <f t="shared" si="27"/>
        <v>5.2012818932772077E-3</v>
      </c>
      <c r="Q32" s="266">
        <f t="shared" si="28"/>
        <v>2.6006409466386039E-2</v>
      </c>
      <c r="R32" s="541">
        <f t="shared" si="29"/>
        <v>5.2012818932772077E-3</v>
      </c>
      <c r="S32" s="312">
        <f t="shared" si="30"/>
        <v>2.5</v>
      </c>
      <c r="T32" s="458">
        <f t="shared" si="31"/>
        <v>5</v>
      </c>
      <c r="U32" s="319" t="b">
        <f t="shared" si="32"/>
        <v>0</v>
      </c>
      <c r="V32" s="467" t="b">
        <f t="shared" si="33"/>
        <v>0</v>
      </c>
      <c r="W32" s="463" t="b">
        <f t="shared" si="34"/>
        <v>0</v>
      </c>
      <c r="X32" s="316" t="b">
        <f t="shared" si="35"/>
        <v>0</v>
      </c>
    </row>
    <row r="33" spans="2:24" ht="12.9" customHeight="1">
      <c r="B33" s="487">
        <f>FORMAT_I!$B$56</f>
        <v>0.25</v>
      </c>
      <c r="C33" s="85">
        <f>FORMAT_I!$K$56</f>
        <v>-250</v>
      </c>
      <c r="D33" s="96">
        <f>FORMAT_I!$N$56</f>
        <v>-250</v>
      </c>
      <c r="E33" s="85">
        <f>FORMAT_I!$K$57</f>
        <v>0</v>
      </c>
      <c r="F33" s="199">
        <f t="shared" si="24"/>
        <v>0</v>
      </c>
      <c r="G33" s="199">
        <f>100*(0.000046*$B$9+0.0000015)/$B$9</f>
        <v>5.2000000000000006E-3</v>
      </c>
      <c r="H33" s="199"/>
      <c r="I33" s="199">
        <f>100*0.000001/2/$B$33</f>
        <v>1.9999999999999998E-4</v>
      </c>
      <c r="J33" s="232">
        <f t="shared" si="25"/>
        <v>5.2051256789181696E-3</v>
      </c>
      <c r="K33" s="85">
        <f>FORMAT_I!$N$57</f>
        <v>0</v>
      </c>
      <c r="L33" s="199">
        <f t="shared" si="26"/>
        <v>0</v>
      </c>
      <c r="M33" s="199">
        <f>100*(0.000046*$B$9+0.0000015)/$B$9</f>
        <v>5.2000000000000006E-3</v>
      </c>
      <c r="N33" s="199"/>
      <c r="O33" s="199">
        <f>100*0.000001/2/$B$33</f>
        <v>1.9999999999999998E-4</v>
      </c>
      <c r="P33" s="210">
        <f t="shared" si="27"/>
        <v>5.2051256789181696E-3</v>
      </c>
      <c r="Q33" s="266">
        <f t="shared" si="28"/>
        <v>1.3012814197295424E-2</v>
      </c>
      <c r="R33" s="541">
        <f t="shared" si="29"/>
        <v>5.2051256789181696E-3</v>
      </c>
      <c r="S33" s="312">
        <f t="shared" si="30"/>
        <v>2.5</v>
      </c>
      <c r="T33" s="458">
        <f t="shared" si="31"/>
        <v>5</v>
      </c>
      <c r="U33" s="319" t="b">
        <f t="shared" si="32"/>
        <v>0</v>
      </c>
      <c r="V33" s="467" t="b">
        <f t="shared" si="33"/>
        <v>0</v>
      </c>
      <c r="W33" s="463" t="b">
        <f t="shared" si="34"/>
        <v>0</v>
      </c>
      <c r="X33" s="316" t="b">
        <f t="shared" si="35"/>
        <v>0</v>
      </c>
    </row>
    <row r="34" spans="2:24" ht="12.9" customHeight="1">
      <c r="B34" s="487">
        <f>FORMAT_I!$B$69</f>
        <v>9.9999999999999992E-2</v>
      </c>
      <c r="C34" s="85">
        <f>FORMAT_I!$K$69</f>
        <v>-100</v>
      </c>
      <c r="D34" s="96">
        <f>FORMAT_I!$N$69</f>
        <v>-100</v>
      </c>
      <c r="E34" s="85">
        <f>FORMAT_I!$K$70</f>
        <v>0</v>
      </c>
      <c r="F34" s="199">
        <f t="shared" si="24"/>
        <v>0</v>
      </c>
      <c r="G34" s="199">
        <f>100*(0.000046*$B$10+0.0000025)/$B$10</f>
        <v>7.1000000000000004E-3</v>
      </c>
      <c r="H34" s="199"/>
      <c r="I34" s="199">
        <f>100*0.000001/2/$B$34</f>
        <v>5.0000000000000001E-4</v>
      </c>
      <c r="J34" s="210">
        <f t="shared" si="25"/>
        <v>7.1234355007491531E-3</v>
      </c>
      <c r="K34" s="85">
        <f>FORMAT_I!$N$70</f>
        <v>0</v>
      </c>
      <c r="L34" s="199">
        <f t="shared" si="26"/>
        <v>0</v>
      </c>
      <c r="M34" s="199">
        <f>100*(0.000046*$B$10+0.0000025)/$B$10</f>
        <v>7.1000000000000004E-3</v>
      </c>
      <c r="N34" s="199"/>
      <c r="O34" s="199">
        <f>100*0.000001/2/$B$34</f>
        <v>5.0000000000000001E-4</v>
      </c>
      <c r="P34" s="210">
        <f t="shared" si="27"/>
        <v>7.1234355007491531E-3</v>
      </c>
      <c r="Q34" s="266">
        <f t="shared" si="28"/>
        <v>7.1234355007491522E-3</v>
      </c>
      <c r="R34" s="541">
        <f t="shared" si="29"/>
        <v>7.1234355007491531E-3</v>
      </c>
      <c r="S34" s="312">
        <f t="shared" si="30"/>
        <v>2.5</v>
      </c>
      <c r="T34" s="458">
        <f t="shared" si="31"/>
        <v>5</v>
      </c>
      <c r="U34" s="319" t="b">
        <f t="shared" si="32"/>
        <v>0</v>
      </c>
      <c r="V34" s="467" t="b">
        <f t="shared" si="33"/>
        <v>0</v>
      </c>
      <c r="W34" s="463" t="b">
        <f t="shared" si="34"/>
        <v>0</v>
      </c>
      <c r="X34" s="316" t="b">
        <f t="shared" si="35"/>
        <v>0</v>
      </c>
    </row>
    <row r="35" spans="2:24" ht="12.9" customHeight="1" thickBot="1">
      <c r="B35" s="488">
        <f>FORMAT_I!$B$82</f>
        <v>4.9999999999999996E-2</v>
      </c>
      <c r="C35" s="86">
        <f>FORMAT_I!$K$82</f>
        <v>-50</v>
      </c>
      <c r="D35" s="97">
        <f>FORMAT_I!$N$82</f>
        <v>-50</v>
      </c>
      <c r="E35" s="86">
        <f>FORMAT_I!$K$83</f>
        <v>0</v>
      </c>
      <c r="F35" s="211">
        <f t="shared" si="24"/>
        <v>0</v>
      </c>
      <c r="G35" s="211">
        <f>100*(0.00006*$B$11+0.000005)/$B$11</f>
        <v>1.6E-2</v>
      </c>
      <c r="H35" s="211"/>
      <c r="I35" s="211">
        <f>100*0.000001/2/$B$35</f>
        <v>1E-3</v>
      </c>
      <c r="J35" s="275">
        <f t="shared" si="25"/>
        <v>1.6041612554021287E-2</v>
      </c>
      <c r="K35" s="86">
        <f>FORMAT_I!$N$83</f>
        <v>0</v>
      </c>
      <c r="L35" s="211">
        <f t="shared" si="26"/>
        <v>0</v>
      </c>
      <c r="M35" s="211">
        <f>100*(0.00006*$B$11+0.000005)/$B$11</f>
        <v>1.6E-2</v>
      </c>
      <c r="N35" s="211"/>
      <c r="O35" s="211">
        <f>100*0.000001/2/$B$35</f>
        <v>1E-3</v>
      </c>
      <c r="P35" s="275">
        <f t="shared" si="27"/>
        <v>1.6041612554021287E-2</v>
      </c>
      <c r="Q35" s="267">
        <f t="shared" si="28"/>
        <v>8.0208062770106437E-3</v>
      </c>
      <c r="R35" s="542">
        <f t="shared" si="29"/>
        <v>1.6041612554021287E-2</v>
      </c>
      <c r="S35" s="313">
        <f t="shared" si="30"/>
        <v>2.5</v>
      </c>
      <c r="T35" s="462">
        <f t="shared" si="31"/>
        <v>5</v>
      </c>
      <c r="U35" s="320" t="b">
        <f t="shared" si="32"/>
        <v>0</v>
      </c>
      <c r="V35" s="468" t="b">
        <f t="shared" si="33"/>
        <v>0</v>
      </c>
      <c r="W35" s="464" t="b">
        <f t="shared" si="34"/>
        <v>0</v>
      </c>
      <c r="X35" s="317" t="b">
        <f t="shared" si="35"/>
        <v>0</v>
      </c>
    </row>
    <row r="44" spans="2:24">
      <c r="E44" s="206">
        <f>2.5/0.05</f>
        <v>50</v>
      </c>
    </row>
  </sheetData>
  <mergeCells count="25">
    <mergeCell ref="S27:T27"/>
    <mergeCell ref="U27:V27"/>
    <mergeCell ref="W27:X27"/>
    <mergeCell ref="S3:T3"/>
    <mergeCell ref="U3:V3"/>
    <mergeCell ref="W3:X3"/>
    <mergeCell ref="S15:T15"/>
    <mergeCell ref="U15:V15"/>
    <mergeCell ref="W15:X15"/>
    <mergeCell ref="C27:D27"/>
    <mergeCell ref="E27:J27"/>
    <mergeCell ref="K27:P27"/>
    <mergeCell ref="B14:D14"/>
    <mergeCell ref="E14:P14"/>
    <mergeCell ref="C15:D15"/>
    <mergeCell ref="E15:J15"/>
    <mergeCell ref="K15:P15"/>
    <mergeCell ref="B26:D26"/>
    <mergeCell ref="E26:P26"/>
    <mergeCell ref="B1:P1"/>
    <mergeCell ref="B2:D2"/>
    <mergeCell ref="E2:P2"/>
    <mergeCell ref="C3:D3"/>
    <mergeCell ref="E3:J3"/>
    <mergeCell ref="K3:P3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ayfa9">
    <tabColor rgb="FF00B050"/>
  </sheetPr>
  <dimension ref="A1:AB41"/>
  <sheetViews>
    <sheetView showWhiteSpace="0" topLeftCell="F1" zoomScale="80" zoomScaleNormal="80" workbookViewId="0">
      <selection activeCell="V4" sqref="V4:V13"/>
    </sheetView>
  </sheetViews>
  <sheetFormatPr defaultColWidth="9.109375" defaultRowHeight="11.4"/>
  <cols>
    <col min="1" max="1" width="2.6640625" style="206" customWidth="1"/>
    <col min="2" max="2" width="13.6640625" style="206" customWidth="1"/>
    <col min="3" max="3" width="14.109375" style="206" bestFit="1" customWidth="1"/>
    <col min="4" max="4" width="12.33203125" style="206" customWidth="1"/>
    <col min="5" max="6" width="15.6640625" style="206" customWidth="1"/>
    <col min="7" max="7" width="16.88671875" style="206" customWidth="1"/>
    <col min="8" max="8" width="16.33203125" style="206" customWidth="1"/>
    <col min="9" max="9" width="14.33203125" style="206" customWidth="1"/>
    <col min="10" max="11" width="9.109375" style="206" customWidth="1"/>
    <col min="12" max="12" width="9.109375" style="206" hidden="1" customWidth="1"/>
    <col min="13" max="13" width="9.109375" style="206" customWidth="1"/>
    <col min="14" max="14" width="9.109375" style="206"/>
    <col min="15" max="15" width="14.33203125" style="206" customWidth="1"/>
    <col min="16" max="17" width="9.109375" style="206" customWidth="1"/>
    <col min="18" max="18" width="9.109375" style="206" hidden="1" customWidth="1"/>
    <col min="19" max="19" width="9.109375" style="206" customWidth="1"/>
    <col min="20" max="22" width="9.109375" style="206"/>
    <col min="23" max="23" width="11.109375" style="206" customWidth="1"/>
    <col min="24" max="24" width="11" style="206" customWidth="1"/>
    <col min="25" max="25" width="10" style="206" customWidth="1"/>
    <col min="26" max="26" width="9.6640625" style="206" customWidth="1"/>
    <col min="27" max="16384" width="9.109375" style="206"/>
  </cols>
  <sheetData>
    <row r="1" spans="1:28" ht="22.5" customHeight="1" thickBot="1">
      <c r="A1" s="332"/>
      <c r="B1" s="609" t="s">
        <v>59</v>
      </c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  <c r="Q1" s="609"/>
      <c r="R1" s="609"/>
      <c r="S1" s="609"/>
      <c r="T1" s="609"/>
    </row>
    <row r="2" spans="1:28" s="77" customFormat="1" ht="17.25" customHeight="1" thickBot="1">
      <c r="B2" s="629" t="s">
        <v>44</v>
      </c>
      <c r="C2" s="630"/>
      <c r="D2" s="630"/>
      <c r="E2" s="630"/>
      <c r="F2" s="630"/>
      <c r="G2" s="630"/>
      <c r="H2" s="631"/>
      <c r="I2" s="619" t="s">
        <v>45</v>
      </c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1"/>
    </row>
    <row r="3" spans="1:28" ht="18.75" customHeight="1" thickBot="1">
      <c r="B3" s="622" t="s">
        <v>46</v>
      </c>
      <c r="C3" s="623"/>
      <c r="D3" s="623"/>
      <c r="E3" s="623"/>
      <c r="F3" s="623"/>
      <c r="G3" s="622" t="s">
        <v>77</v>
      </c>
      <c r="H3" s="632"/>
      <c r="I3" s="626" t="s">
        <v>47</v>
      </c>
      <c r="J3" s="627"/>
      <c r="K3" s="627"/>
      <c r="L3" s="627"/>
      <c r="M3" s="627"/>
      <c r="N3" s="628"/>
      <c r="O3" s="626" t="s">
        <v>48</v>
      </c>
      <c r="P3" s="627"/>
      <c r="Q3" s="627"/>
      <c r="R3" s="627"/>
      <c r="S3" s="627"/>
      <c r="T3" s="628"/>
      <c r="W3" s="614" t="s">
        <v>110</v>
      </c>
      <c r="X3" s="615"/>
      <c r="Y3" s="612" t="s">
        <v>107</v>
      </c>
      <c r="Z3" s="613"/>
      <c r="AA3" s="614" t="s">
        <v>108</v>
      </c>
      <c r="AB3" s="615"/>
    </row>
    <row r="4" spans="1:28" ht="18" customHeight="1" thickBot="1">
      <c r="B4" s="473" t="s">
        <v>14</v>
      </c>
      <c r="C4" s="474" t="s">
        <v>143</v>
      </c>
      <c r="D4" s="475" t="s">
        <v>0</v>
      </c>
      <c r="E4" s="476" t="s">
        <v>147</v>
      </c>
      <c r="F4" s="477" t="s">
        <v>148</v>
      </c>
      <c r="G4" s="215" t="s">
        <v>78</v>
      </c>
      <c r="H4" s="217" t="s">
        <v>79</v>
      </c>
      <c r="I4" s="218" t="s">
        <v>49</v>
      </c>
      <c r="J4" s="219" t="s">
        <v>50</v>
      </c>
      <c r="K4" s="219" t="s">
        <v>51</v>
      </c>
      <c r="L4" s="219" t="s">
        <v>52</v>
      </c>
      <c r="M4" s="219" t="s">
        <v>53</v>
      </c>
      <c r="N4" s="220" t="s">
        <v>54</v>
      </c>
      <c r="O4" s="218" t="s">
        <v>49</v>
      </c>
      <c r="P4" s="219" t="s">
        <v>50</v>
      </c>
      <c r="Q4" s="219" t="s">
        <v>51</v>
      </c>
      <c r="R4" s="219" t="s">
        <v>52</v>
      </c>
      <c r="S4" s="219" t="s">
        <v>53</v>
      </c>
      <c r="T4" s="220" t="s">
        <v>54</v>
      </c>
      <c r="U4" s="533" t="s">
        <v>87</v>
      </c>
      <c r="V4" s="540" t="s">
        <v>54</v>
      </c>
      <c r="W4" s="314" t="s">
        <v>104</v>
      </c>
      <c r="X4" s="315" t="s">
        <v>105</v>
      </c>
      <c r="Y4" s="318" t="s">
        <v>47</v>
      </c>
      <c r="Z4" s="455" t="s">
        <v>48</v>
      </c>
      <c r="AA4" s="314" t="s">
        <v>47</v>
      </c>
      <c r="AB4" s="315" t="s">
        <v>48</v>
      </c>
    </row>
    <row r="5" spans="1:28" ht="12.9" customHeight="1">
      <c r="B5" s="9">
        <f>FORMAT_P!$B$4</f>
        <v>57.734999999999999</v>
      </c>
      <c r="C5" s="3">
        <f>FORMAT_P!$C$4</f>
        <v>5</v>
      </c>
      <c r="D5" s="3">
        <f>FORMAT_P!$D$4</f>
        <v>1</v>
      </c>
      <c r="E5" s="3">
        <f>FORMAT_P!$E$4</f>
        <v>288.67500000000007</v>
      </c>
      <c r="F5" s="481">
        <f>FORMAT_P!$F$4</f>
        <v>288.67500000000007</v>
      </c>
      <c r="G5" s="9">
        <f>FORMAT_P!$M$4</f>
        <v>-288.67500000000007</v>
      </c>
      <c r="H5" s="95">
        <f>FORMAT_P!$P$4</f>
        <v>-288.67500000000007</v>
      </c>
      <c r="I5" s="189">
        <f>FORMAT_P!$M$5</f>
        <v>2.0756291514809279E-14</v>
      </c>
      <c r="J5" s="222">
        <f>I5/10^0.5</f>
        <v>6.5637156965223872E-15</v>
      </c>
      <c r="K5" s="222">
        <f>0.000065*100</f>
        <v>6.4999999999999997E-3</v>
      </c>
      <c r="L5" s="222"/>
      <c r="M5" s="222">
        <f>100*0.001/2/$F$5</f>
        <v>1.7320516151381307E-4</v>
      </c>
      <c r="N5" s="546">
        <f>2*(J5^2+K5^2/4+L5^2/3+M5^2/3)^0.5</f>
        <v>6.5030761980235195E-3</v>
      </c>
      <c r="O5" s="189">
        <f>FORMAT_P!$P$5</f>
        <v>2.0756291514809279E-14</v>
      </c>
      <c r="P5" s="222">
        <f>O5/10^0.5</f>
        <v>6.5637156965223872E-15</v>
      </c>
      <c r="Q5" s="222">
        <f>0.000065*100</f>
        <v>6.4999999999999997E-3</v>
      </c>
      <c r="R5" s="222"/>
      <c r="S5" s="222">
        <f>100*0.001/2/$F$5</f>
        <v>1.7320516151381307E-4</v>
      </c>
      <c r="T5" s="546">
        <f>2*(P5^2+Q5^2/4+R5^2/3+S5^2/3)^0.5</f>
        <v>6.5030761980235195E-3</v>
      </c>
      <c r="U5" s="547">
        <f>T5*0.01*E5</f>
        <v>1.8772755214644398E-2</v>
      </c>
      <c r="V5" s="535">
        <f>IF(T5&gt;N5,T5,N5)</f>
        <v>6.5030761980235195E-3</v>
      </c>
      <c r="W5" s="312">
        <f>0.001*$B$5*$C$5</f>
        <v>0.28867500000000001</v>
      </c>
      <c r="X5" s="458">
        <f>0.01*E5</f>
        <v>2.8867500000000006</v>
      </c>
      <c r="Y5" s="319" t="b">
        <f>IF(ABS(G5)&lt;W5,TRUE,FALSE)</f>
        <v>0</v>
      </c>
      <c r="Z5" s="467" t="b">
        <f>IF(ABS(H5)&lt;W5,TRUE,FALSE)</f>
        <v>0</v>
      </c>
      <c r="AA5" s="463" t="b">
        <f>IF(ABS(G5)&lt;X5,TRUE,FALSE)</f>
        <v>0</v>
      </c>
      <c r="AB5" s="316" t="b">
        <f>IF(ABS(H5)&lt;X5,TRUE,FALSE)</f>
        <v>0</v>
      </c>
    </row>
    <row r="6" spans="1:28" ht="12.9" customHeight="1">
      <c r="B6" s="85">
        <f>FORMAT_P!$B$17</f>
        <v>57.734999999999999</v>
      </c>
      <c r="C6" s="6">
        <f>FORMAT_P!$C$17</f>
        <v>5</v>
      </c>
      <c r="D6" s="6">
        <f>FORMAT_P!$D$17</f>
        <v>0.5</v>
      </c>
      <c r="E6" s="6">
        <f>FORMAT_P!$E$17</f>
        <v>144.33750000000003</v>
      </c>
      <c r="F6" s="143">
        <f>FORMAT_P!$F$17</f>
        <v>288.67500000000007</v>
      </c>
      <c r="G6" s="85">
        <f>FORMAT_P!$M$17</f>
        <v>-144.33750000000003</v>
      </c>
      <c r="H6" s="96">
        <f>FORMAT_P!$P$17</f>
        <v>-144.33750000000003</v>
      </c>
      <c r="I6" s="85">
        <f>FORMAT_P!$M$18</f>
        <v>1.037814575740464E-14</v>
      </c>
      <c r="J6" s="199">
        <f t="shared" ref="J6:J13" si="0">I6/10^0.5</f>
        <v>3.2818578482611936E-15</v>
      </c>
      <c r="K6" s="199">
        <f>0.000093*100</f>
        <v>9.2999999999999992E-3</v>
      </c>
      <c r="L6" s="199"/>
      <c r="M6" s="199">
        <f>100*0.001/2/$F$6</f>
        <v>1.7320516151381307E-4</v>
      </c>
      <c r="N6" s="210">
        <f t="shared" ref="N6:N13" si="1">2*(J6^2+K6^2/4+L6^2/3+M6^2/3)^0.5</f>
        <v>9.3021502910509892E-3</v>
      </c>
      <c r="O6" s="85">
        <f>FORMAT_P!$P$18</f>
        <v>1.037814575740464E-14</v>
      </c>
      <c r="P6" s="199">
        <f t="shared" ref="P6:P13" si="2">O6/10^0.5</f>
        <v>3.2818578482611936E-15</v>
      </c>
      <c r="Q6" s="199">
        <f>0.000093*100</f>
        <v>9.2999999999999992E-3</v>
      </c>
      <c r="R6" s="199"/>
      <c r="S6" s="199">
        <f>100*0.001/2/$F$6</f>
        <v>1.7320516151381307E-4</v>
      </c>
      <c r="T6" s="210">
        <f t="shared" ref="T6:T13" si="3">2*(P6^2+Q6^2/4+R6^2/3+S6^2/3)^0.5</f>
        <v>9.3021502910509892E-3</v>
      </c>
      <c r="U6" s="266">
        <f t="shared" ref="U6:U13" si="4">T6*0.01*E6</f>
        <v>1.3426491176345725E-2</v>
      </c>
      <c r="V6" s="541">
        <f t="shared" ref="V6:V13" si="5">IF(T6&gt;N6,T6,N6)</f>
        <v>9.3021502910509892E-3</v>
      </c>
      <c r="W6" s="312">
        <f t="shared" ref="W6:W13" si="6">0.001*$B$5*$C$5</f>
        <v>0.28867500000000001</v>
      </c>
      <c r="X6" s="458">
        <v>1.5</v>
      </c>
      <c r="Y6" s="319" t="b">
        <f t="shared" ref="Y6:Y13" si="7">IF(ABS(G6)&lt;W6,TRUE,FALSE)</f>
        <v>0</v>
      </c>
      <c r="Z6" s="467" t="b">
        <f t="shared" ref="Z6:Z13" si="8">IF(ABS(H6)&lt;W6,TRUE,FALSE)</f>
        <v>0</v>
      </c>
      <c r="AA6" s="463" t="b">
        <f t="shared" ref="AA6:AA13" si="9">IF(ABS(G6)&lt;X6,TRUE,FALSE)</f>
        <v>0</v>
      </c>
      <c r="AB6" s="316" t="b">
        <f t="shared" ref="AB6:AB13" si="10">IF(ABS(H6)&lt;X6,TRUE,FALSE)</f>
        <v>0</v>
      </c>
    </row>
    <row r="7" spans="1:28" ht="12.9" customHeight="1">
      <c r="B7" s="85">
        <f>FORMAT_P!$B$30</f>
        <v>57.734999999999999</v>
      </c>
      <c r="C7" s="6">
        <f>FORMAT_P!$C$30</f>
        <v>5</v>
      </c>
      <c r="D7" s="6">
        <f>FORMAT_P!$D$30</f>
        <v>0.5</v>
      </c>
      <c r="E7" s="6">
        <f>FORMAT_P!$E$30</f>
        <v>144.33750000000003</v>
      </c>
      <c r="F7" s="143">
        <f>FORMAT_P!$F$30</f>
        <v>288.67500000000007</v>
      </c>
      <c r="G7" s="85">
        <f>FORMAT_P!$M$30</f>
        <v>-144.33750000000003</v>
      </c>
      <c r="H7" s="96">
        <f>FORMAT_P!$P$30</f>
        <v>-144.33750000000003</v>
      </c>
      <c r="I7" s="85">
        <f>FORMAT_P!$M$31</f>
        <v>1.037814575740464E-14</v>
      </c>
      <c r="J7" s="199">
        <f t="shared" si="0"/>
        <v>3.2818578482611936E-15</v>
      </c>
      <c r="K7" s="199">
        <f>0.000093*100</f>
        <v>9.2999999999999992E-3</v>
      </c>
      <c r="L7" s="199"/>
      <c r="M7" s="199">
        <f>100*0.001/2/$F$7</f>
        <v>1.7320516151381307E-4</v>
      </c>
      <c r="N7" s="210">
        <f t="shared" si="1"/>
        <v>9.3021502910509892E-3</v>
      </c>
      <c r="O7" s="85">
        <f>FORMAT_P!$P$31</f>
        <v>1.037814575740464E-14</v>
      </c>
      <c r="P7" s="199">
        <f t="shared" si="2"/>
        <v>3.2818578482611936E-15</v>
      </c>
      <c r="Q7" s="199">
        <f>0.000093*100</f>
        <v>9.2999999999999992E-3</v>
      </c>
      <c r="R7" s="199"/>
      <c r="S7" s="199">
        <f>100*0.001/2/$F$7</f>
        <v>1.7320516151381307E-4</v>
      </c>
      <c r="T7" s="210">
        <f t="shared" si="3"/>
        <v>9.3021502910509892E-3</v>
      </c>
      <c r="U7" s="266">
        <f t="shared" si="4"/>
        <v>1.3426491176345725E-2</v>
      </c>
      <c r="V7" s="541">
        <f t="shared" si="5"/>
        <v>9.3021502910509892E-3</v>
      </c>
      <c r="W7" s="312">
        <f t="shared" si="6"/>
        <v>0.28867500000000001</v>
      </c>
      <c r="X7" s="458">
        <v>1.5</v>
      </c>
      <c r="Y7" s="319" t="b">
        <f t="shared" si="7"/>
        <v>0</v>
      </c>
      <c r="Z7" s="467" t="b">
        <f t="shared" si="8"/>
        <v>0</v>
      </c>
      <c r="AA7" s="463" t="b">
        <f t="shared" si="9"/>
        <v>0</v>
      </c>
      <c r="AB7" s="316" t="b">
        <f t="shared" si="10"/>
        <v>0</v>
      </c>
    </row>
    <row r="8" spans="1:28" ht="12.9" customHeight="1">
      <c r="B8" s="85">
        <f>FORMAT_P!$B$43</f>
        <v>57.734999999999999</v>
      </c>
      <c r="C8" s="6">
        <f>FORMAT_P!$C$43</f>
        <v>2.5</v>
      </c>
      <c r="D8" s="6">
        <f>FORMAT_P!$D$43</f>
        <v>1</v>
      </c>
      <c r="E8" s="6">
        <f>FORMAT_P!$E$43</f>
        <v>144.33750000000003</v>
      </c>
      <c r="F8" s="143">
        <f>FORMAT_P!$F$43</f>
        <v>144.33750000000003</v>
      </c>
      <c r="G8" s="85">
        <f>FORMAT_P!$M$43</f>
        <v>-144.33750000000003</v>
      </c>
      <c r="H8" s="96">
        <f>FORMAT_P!$P$43</f>
        <v>-144.33750000000003</v>
      </c>
      <c r="I8" s="85">
        <f>FORMAT_P!$M$44</f>
        <v>2.0756291514809279E-14</v>
      </c>
      <c r="J8" s="199">
        <f t="shared" si="0"/>
        <v>6.5637156965223872E-15</v>
      </c>
      <c r="K8" s="199">
        <f t="shared" ref="K8" si="11">0.000065*100</f>
        <v>6.4999999999999997E-3</v>
      </c>
      <c r="L8" s="199"/>
      <c r="M8" s="199">
        <f>100*0.0001/2/$F$8</f>
        <v>3.4641032302762613E-5</v>
      </c>
      <c r="N8" s="210">
        <f t="shared" si="1"/>
        <v>6.5001230758726406E-3</v>
      </c>
      <c r="O8" s="85">
        <f>FORMAT_P!$P$44</f>
        <v>2.0756291514809279E-14</v>
      </c>
      <c r="P8" s="199">
        <f t="shared" si="2"/>
        <v>6.5637156965223872E-15</v>
      </c>
      <c r="Q8" s="199">
        <f t="shared" ref="Q8" si="12">0.000065*100</f>
        <v>6.4999999999999997E-3</v>
      </c>
      <c r="R8" s="199"/>
      <c r="S8" s="199">
        <f>100*0.0001/2/$F$8</f>
        <v>3.4641032302762613E-5</v>
      </c>
      <c r="T8" s="210">
        <f t="shared" si="3"/>
        <v>6.5001230758726406E-3</v>
      </c>
      <c r="U8" s="156">
        <f t="shared" si="4"/>
        <v>9.3821151446376767E-3</v>
      </c>
      <c r="V8" s="541">
        <f t="shared" si="5"/>
        <v>6.5001230758726406E-3</v>
      </c>
      <c r="W8" s="312">
        <f t="shared" si="6"/>
        <v>0.28867500000000001</v>
      </c>
      <c r="X8" s="458">
        <v>1.5</v>
      </c>
      <c r="Y8" s="319" t="b">
        <f t="shared" si="7"/>
        <v>0</v>
      </c>
      <c r="Z8" s="467" t="b">
        <f t="shared" si="8"/>
        <v>0</v>
      </c>
      <c r="AA8" s="463" t="b">
        <f t="shared" si="9"/>
        <v>0</v>
      </c>
      <c r="AB8" s="316" t="b">
        <f t="shared" si="10"/>
        <v>0</v>
      </c>
    </row>
    <row r="9" spans="1:28" ht="12.9" customHeight="1">
      <c r="B9" s="85">
        <f>FORMAT_P!$B$56</f>
        <v>57.734999999999999</v>
      </c>
      <c r="C9" s="6">
        <f>FORMAT_P!$C$56</f>
        <v>1</v>
      </c>
      <c r="D9" s="6">
        <f>FORMAT_P!$D$56</f>
        <v>1</v>
      </c>
      <c r="E9" s="6">
        <f>FORMAT_P!$E$56</f>
        <v>57.734999999999999</v>
      </c>
      <c r="F9" s="143">
        <f>FORMAT_P!$F$56</f>
        <v>57.734999999999999</v>
      </c>
      <c r="G9" s="85">
        <f>FORMAT_P!$M$56</f>
        <v>-57.734999999999999</v>
      </c>
      <c r="H9" s="96">
        <f>FORMAT_P!$P$56</f>
        <v>-57.734999999999999</v>
      </c>
      <c r="I9" s="85">
        <f>FORMAT_P!$M$57</f>
        <v>0</v>
      </c>
      <c r="J9" s="199">
        <f t="shared" si="0"/>
        <v>0</v>
      </c>
      <c r="K9" s="199">
        <f>0.000062*100</f>
        <v>6.2000000000000006E-3</v>
      </c>
      <c r="L9" s="199"/>
      <c r="M9" s="199">
        <f>100*0.0001/2/$F$9</f>
        <v>8.6602580756906563E-5</v>
      </c>
      <c r="N9" s="210">
        <f t="shared" si="1"/>
        <v>6.2008063999229182E-3</v>
      </c>
      <c r="O9" s="85">
        <f>FORMAT_P!$P$57</f>
        <v>0</v>
      </c>
      <c r="P9" s="199">
        <f t="shared" si="2"/>
        <v>0</v>
      </c>
      <c r="Q9" s="199">
        <f>0.000062*100</f>
        <v>6.2000000000000006E-3</v>
      </c>
      <c r="R9" s="199"/>
      <c r="S9" s="199">
        <f>100*0.0001/2/$F$9</f>
        <v>8.6602580756906563E-5</v>
      </c>
      <c r="T9" s="210">
        <f t="shared" si="3"/>
        <v>6.2008063999229182E-3</v>
      </c>
      <c r="U9" s="156">
        <f t="shared" si="4"/>
        <v>3.5800355749954966E-3</v>
      </c>
      <c r="V9" s="541">
        <f t="shared" si="5"/>
        <v>6.2008063999229182E-3</v>
      </c>
      <c r="W9" s="312">
        <f t="shared" si="6"/>
        <v>0.28867500000000001</v>
      </c>
      <c r="X9" s="458">
        <v>1.5</v>
      </c>
      <c r="Y9" s="319" t="b">
        <f t="shared" si="7"/>
        <v>0</v>
      </c>
      <c r="Z9" s="467" t="b">
        <f t="shared" si="8"/>
        <v>0</v>
      </c>
      <c r="AA9" s="463" t="b">
        <f t="shared" si="9"/>
        <v>0</v>
      </c>
      <c r="AB9" s="316" t="b">
        <f t="shared" si="10"/>
        <v>0</v>
      </c>
    </row>
    <row r="10" spans="1:28" ht="12.9" customHeight="1">
      <c r="B10" s="85">
        <f>FORMAT_P!$B$69</f>
        <v>57.734999999999999</v>
      </c>
      <c r="C10" s="6">
        <f>FORMAT_P!$C$69</f>
        <v>0.5</v>
      </c>
      <c r="D10" s="6">
        <f>FORMAT_P!$D$69</f>
        <v>1</v>
      </c>
      <c r="E10" s="6">
        <f>FORMAT_P!$E$69</f>
        <v>28.8675</v>
      </c>
      <c r="F10" s="143">
        <f>FORMAT_P!$F$69</f>
        <v>28.8675</v>
      </c>
      <c r="G10" s="85">
        <f>FORMAT_P!$M$69</f>
        <v>-28.8675</v>
      </c>
      <c r="H10" s="96">
        <f>FORMAT_P!$P$69</f>
        <v>-28.8675</v>
      </c>
      <c r="I10" s="85">
        <f>FORMAT_P!$M$70</f>
        <v>0</v>
      </c>
      <c r="J10" s="199">
        <f t="shared" si="0"/>
        <v>0</v>
      </c>
      <c r="K10" s="199">
        <f t="shared" ref="K10:K13" si="13">0.000062*100</f>
        <v>6.2000000000000006E-3</v>
      </c>
      <c r="L10" s="199"/>
      <c r="M10" s="199">
        <f>100*0.0001/2/$F$10</f>
        <v>1.7320516151381313E-4</v>
      </c>
      <c r="N10" s="210">
        <f t="shared" si="1"/>
        <v>6.2032249707148334E-3</v>
      </c>
      <c r="O10" s="85">
        <f>FORMAT_P!$P$70</f>
        <v>0</v>
      </c>
      <c r="P10" s="199">
        <f t="shared" si="2"/>
        <v>0</v>
      </c>
      <c r="Q10" s="199">
        <f t="shared" ref="Q10:Q13" si="14">0.000062*100</f>
        <v>6.2000000000000006E-3</v>
      </c>
      <c r="R10" s="199"/>
      <c r="S10" s="199">
        <f>100*0.0001/2/$F$10</f>
        <v>1.7320516151381313E-4</v>
      </c>
      <c r="T10" s="210">
        <f t="shared" si="3"/>
        <v>6.2032249707148334E-3</v>
      </c>
      <c r="U10" s="156">
        <f t="shared" si="4"/>
        <v>1.7907159684211044E-3</v>
      </c>
      <c r="V10" s="541">
        <f t="shared" si="5"/>
        <v>6.2032249707148334E-3</v>
      </c>
      <c r="W10" s="312">
        <f t="shared" si="6"/>
        <v>0.28867500000000001</v>
      </c>
      <c r="X10" s="458">
        <v>1.5</v>
      </c>
      <c r="Y10" s="319" t="b">
        <f t="shared" si="7"/>
        <v>0</v>
      </c>
      <c r="Z10" s="467" t="b">
        <f t="shared" si="8"/>
        <v>0</v>
      </c>
      <c r="AA10" s="463" t="b">
        <f t="shared" si="9"/>
        <v>0</v>
      </c>
      <c r="AB10" s="316" t="b">
        <f t="shared" si="10"/>
        <v>0</v>
      </c>
    </row>
    <row r="11" spans="1:28" ht="12.9" customHeight="1">
      <c r="B11" s="85">
        <f>FORMAT_P!$B$82</f>
        <v>57.734999999999999</v>
      </c>
      <c r="C11" s="6">
        <f>FORMAT_P!$C$82</f>
        <v>0.25</v>
      </c>
      <c r="D11" s="6">
        <f>FORMAT_P!$D$82</f>
        <v>1</v>
      </c>
      <c r="E11" s="6">
        <f>FORMAT_P!$E$82</f>
        <v>14.43375</v>
      </c>
      <c r="F11" s="143">
        <f>FORMAT_P!$F$82</f>
        <v>14.43375</v>
      </c>
      <c r="G11" s="85">
        <f>FORMAT_P!$M$82</f>
        <v>-14.43375</v>
      </c>
      <c r="H11" s="96">
        <f>FORMAT_P!$P$82</f>
        <v>-14.43375</v>
      </c>
      <c r="I11" s="85">
        <f>FORMAT_P!$M$83</f>
        <v>0</v>
      </c>
      <c r="J11" s="199">
        <f t="shared" si="0"/>
        <v>0</v>
      </c>
      <c r="K11" s="199">
        <f t="shared" si="13"/>
        <v>6.2000000000000006E-3</v>
      </c>
      <c r="L11" s="199"/>
      <c r="M11" s="199">
        <f>100*0.00001/2/$F$11</f>
        <v>3.4641032302762627E-5</v>
      </c>
      <c r="N11" s="210">
        <f t="shared" si="1"/>
        <v>6.2001290310357265E-3</v>
      </c>
      <c r="O11" s="85">
        <f>FORMAT_P!$P$83</f>
        <v>0</v>
      </c>
      <c r="P11" s="199">
        <f t="shared" si="2"/>
        <v>0</v>
      </c>
      <c r="Q11" s="199">
        <f t="shared" si="14"/>
        <v>6.2000000000000006E-3</v>
      </c>
      <c r="R11" s="199"/>
      <c r="S11" s="199">
        <f>100*0.00001/2/$F$11</f>
        <v>3.4641032302762627E-5</v>
      </c>
      <c r="T11" s="210">
        <f t="shared" si="3"/>
        <v>6.2001290310357265E-3</v>
      </c>
      <c r="U11" s="268">
        <f t="shared" si="4"/>
        <v>8.9491112401711914E-4</v>
      </c>
      <c r="V11" s="545">
        <f t="shared" si="5"/>
        <v>6.2001290310357265E-3</v>
      </c>
      <c r="W11" s="312">
        <f t="shared" si="6"/>
        <v>0.28867500000000001</v>
      </c>
      <c r="X11" s="458">
        <v>1.5</v>
      </c>
      <c r="Y11" s="319" t="b">
        <f t="shared" si="7"/>
        <v>0</v>
      </c>
      <c r="Z11" s="467" t="b">
        <f t="shared" si="8"/>
        <v>0</v>
      </c>
      <c r="AA11" s="463" t="b">
        <f t="shared" si="9"/>
        <v>0</v>
      </c>
      <c r="AB11" s="316" t="b">
        <f t="shared" si="10"/>
        <v>0</v>
      </c>
    </row>
    <row r="12" spans="1:28" ht="12.9" customHeight="1">
      <c r="B12" s="85">
        <f>FORMAT_P!$B$95</f>
        <v>57.734999999999999</v>
      </c>
      <c r="C12" s="6">
        <f>FORMAT_P!$C$95</f>
        <v>9.9999999999999992E-2</v>
      </c>
      <c r="D12" s="6">
        <f>FORMAT_P!$D$95</f>
        <v>1</v>
      </c>
      <c r="E12" s="6">
        <f>FORMAT_P!$E$95</f>
        <v>5.7734999999999994</v>
      </c>
      <c r="F12" s="143">
        <f>FORMAT_P!$F$95</f>
        <v>5.7734999999999994</v>
      </c>
      <c r="G12" s="85">
        <f>FORMAT_P!$M$95</f>
        <v>-5.7734999999999994</v>
      </c>
      <c r="H12" s="96">
        <f>FORMAT_P!$P$95</f>
        <v>-5.7734999999999994</v>
      </c>
      <c r="I12" s="85">
        <f>FORMAT_P!$M$96</f>
        <v>1.6215852745944756E-14</v>
      </c>
      <c r="J12" s="199">
        <f t="shared" si="0"/>
        <v>5.1279028879081166E-15</v>
      </c>
      <c r="K12" s="199">
        <f t="shared" si="13"/>
        <v>6.2000000000000006E-3</v>
      </c>
      <c r="L12" s="199"/>
      <c r="M12" s="199">
        <f>100*0.00001/2/$F$12</f>
        <v>8.6602580756906563E-5</v>
      </c>
      <c r="N12" s="210">
        <f t="shared" si="1"/>
        <v>6.2008063999229182E-3</v>
      </c>
      <c r="O12" s="85">
        <f>FORMAT_P!$P$96</f>
        <v>1.6215852745944756E-14</v>
      </c>
      <c r="P12" s="199">
        <f t="shared" si="2"/>
        <v>5.1279028879081166E-15</v>
      </c>
      <c r="Q12" s="199">
        <f t="shared" si="14"/>
        <v>6.2000000000000006E-3</v>
      </c>
      <c r="R12" s="199"/>
      <c r="S12" s="199">
        <f>100*0.00001/2/$F$12</f>
        <v>8.6602580756906563E-5</v>
      </c>
      <c r="T12" s="210">
        <f t="shared" si="3"/>
        <v>6.2008063999229182E-3</v>
      </c>
      <c r="U12" s="268">
        <f t="shared" si="4"/>
        <v>3.5800355749954964E-4</v>
      </c>
      <c r="V12" s="541">
        <f t="shared" si="5"/>
        <v>6.2008063999229182E-3</v>
      </c>
      <c r="W12" s="312">
        <f t="shared" si="6"/>
        <v>0.28867500000000001</v>
      </c>
      <c r="X12" s="458">
        <v>1.5</v>
      </c>
      <c r="Y12" s="319" t="b">
        <f t="shared" si="7"/>
        <v>0</v>
      </c>
      <c r="Z12" s="467" t="b">
        <f t="shared" si="8"/>
        <v>0</v>
      </c>
      <c r="AA12" s="463" t="b">
        <f t="shared" si="9"/>
        <v>0</v>
      </c>
      <c r="AB12" s="316" t="b">
        <f t="shared" si="10"/>
        <v>0</v>
      </c>
    </row>
    <row r="13" spans="1:28" ht="12.9" customHeight="1" thickBot="1">
      <c r="B13" s="86">
        <f>FORMAT_P!$B$108</f>
        <v>72.168800000000019</v>
      </c>
      <c r="C13" s="17">
        <f>FORMAT_P!$C$108</f>
        <v>4.9999999999999996E-2</v>
      </c>
      <c r="D13" s="17">
        <f>FORMAT_P!$D$108</f>
        <v>1</v>
      </c>
      <c r="E13" s="17">
        <f>FORMAT_P!$E$108</f>
        <v>3.6084400000000008</v>
      </c>
      <c r="F13" s="144">
        <f>FORMAT_P!$F$108</f>
        <v>3.6084400000000008</v>
      </c>
      <c r="G13" s="86">
        <f>FORMAT_P!$M$108</f>
        <v>-3.6084400000000008</v>
      </c>
      <c r="H13" s="97">
        <f>FORMAT_P!$P$108</f>
        <v>-3.6084400000000008</v>
      </c>
      <c r="I13" s="86">
        <f>FORMAT_P!$M$109</f>
        <v>1.2972673209019965E-14</v>
      </c>
      <c r="J13" s="211">
        <f t="shared" si="0"/>
        <v>4.1023194681548678E-15</v>
      </c>
      <c r="K13" s="211">
        <f t="shared" si="13"/>
        <v>6.2000000000000006E-3</v>
      </c>
      <c r="L13" s="211"/>
      <c r="M13" s="211">
        <f>100*0.00001/2/$F$13</f>
        <v>1.3856403321102744E-4</v>
      </c>
      <c r="N13" s="213">
        <f t="shared" si="1"/>
        <v>6.2020641715802667E-3</v>
      </c>
      <c r="O13" s="86">
        <f>FORMAT_P!$P$109</f>
        <v>1.2972673209019965E-14</v>
      </c>
      <c r="P13" s="211">
        <f t="shared" si="2"/>
        <v>4.1023194681548678E-15</v>
      </c>
      <c r="Q13" s="211">
        <f t="shared" si="14"/>
        <v>6.2000000000000006E-3</v>
      </c>
      <c r="R13" s="211"/>
      <c r="S13" s="211">
        <f>100*0.00001/2/$F$13</f>
        <v>1.3856403321102744E-4</v>
      </c>
      <c r="T13" s="213">
        <f t="shared" si="3"/>
        <v>6.2020641715802667E-3</v>
      </c>
      <c r="U13" s="269">
        <f t="shared" si="4"/>
        <v>2.2379776439297101E-4</v>
      </c>
      <c r="V13" s="531">
        <f t="shared" si="5"/>
        <v>6.2020641715802667E-3</v>
      </c>
      <c r="W13" s="313">
        <f t="shared" si="6"/>
        <v>0.28867500000000001</v>
      </c>
      <c r="X13" s="462">
        <v>1.5</v>
      </c>
      <c r="Y13" s="320" t="b">
        <f t="shared" si="7"/>
        <v>0</v>
      </c>
      <c r="Z13" s="468" t="b">
        <f t="shared" si="8"/>
        <v>0</v>
      </c>
      <c r="AA13" s="464" t="b">
        <f t="shared" si="9"/>
        <v>0</v>
      </c>
      <c r="AB13" s="317" t="b">
        <f t="shared" si="10"/>
        <v>0</v>
      </c>
    </row>
    <row r="14" spans="1:28" ht="12.9" customHeight="1"/>
    <row r="15" spans="1:28" ht="12" thickBot="1"/>
    <row r="16" spans="1:28" s="77" customFormat="1" ht="15.75" customHeight="1" thickBot="1">
      <c r="B16" s="629" t="s">
        <v>55</v>
      </c>
      <c r="C16" s="630"/>
      <c r="D16" s="630"/>
      <c r="E16" s="630"/>
      <c r="F16" s="630"/>
      <c r="G16" s="630"/>
      <c r="H16" s="631"/>
      <c r="I16" s="619" t="s">
        <v>56</v>
      </c>
      <c r="J16" s="620"/>
      <c r="K16" s="620"/>
      <c r="L16" s="620"/>
      <c r="M16" s="620"/>
      <c r="N16" s="620"/>
      <c r="O16" s="620"/>
      <c r="P16" s="620"/>
      <c r="Q16" s="620"/>
      <c r="R16" s="620"/>
      <c r="S16" s="620"/>
      <c r="T16" s="621"/>
    </row>
    <row r="17" spans="2:28" ht="18" customHeight="1" thickBot="1">
      <c r="B17" s="622" t="s">
        <v>46</v>
      </c>
      <c r="C17" s="623"/>
      <c r="D17" s="623"/>
      <c r="E17" s="623"/>
      <c r="F17" s="623"/>
      <c r="G17" s="622" t="s">
        <v>77</v>
      </c>
      <c r="H17" s="632"/>
      <c r="I17" s="626" t="s">
        <v>47</v>
      </c>
      <c r="J17" s="627"/>
      <c r="K17" s="627"/>
      <c r="L17" s="627"/>
      <c r="M17" s="627"/>
      <c r="N17" s="628"/>
      <c r="O17" s="626" t="s">
        <v>48</v>
      </c>
      <c r="P17" s="627"/>
      <c r="Q17" s="627"/>
      <c r="R17" s="627"/>
      <c r="S17" s="627"/>
      <c r="T17" s="628"/>
      <c r="W17" s="614" t="s">
        <v>110</v>
      </c>
      <c r="X17" s="615"/>
      <c r="Y17" s="612" t="s">
        <v>107</v>
      </c>
      <c r="Z17" s="613"/>
      <c r="AA17" s="614" t="s">
        <v>108</v>
      </c>
      <c r="AB17" s="615"/>
    </row>
    <row r="18" spans="2:28" ht="18" customHeight="1" thickBot="1">
      <c r="B18" s="473" t="s">
        <v>14</v>
      </c>
      <c r="C18" s="474" t="s">
        <v>143</v>
      </c>
      <c r="D18" s="475" t="s">
        <v>0</v>
      </c>
      <c r="E18" s="476" t="s">
        <v>147</v>
      </c>
      <c r="F18" s="477" t="s">
        <v>148</v>
      </c>
      <c r="G18" s="215" t="s">
        <v>78</v>
      </c>
      <c r="H18" s="217" t="s">
        <v>79</v>
      </c>
      <c r="I18" s="218" t="s">
        <v>49</v>
      </c>
      <c r="J18" s="219" t="s">
        <v>50</v>
      </c>
      <c r="K18" s="219" t="s">
        <v>51</v>
      </c>
      <c r="L18" s="219" t="s">
        <v>52</v>
      </c>
      <c r="M18" s="219" t="s">
        <v>53</v>
      </c>
      <c r="N18" s="220" t="s">
        <v>54</v>
      </c>
      <c r="O18" s="218" t="s">
        <v>49</v>
      </c>
      <c r="P18" s="219" t="s">
        <v>50</v>
      </c>
      <c r="Q18" s="219" t="s">
        <v>51</v>
      </c>
      <c r="R18" s="219" t="s">
        <v>52</v>
      </c>
      <c r="S18" s="219" t="s">
        <v>53</v>
      </c>
      <c r="T18" s="220" t="s">
        <v>54</v>
      </c>
      <c r="U18" s="533" t="s">
        <v>87</v>
      </c>
      <c r="V18" s="540" t="s">
        <v>54</v>
      </c>
      <c r="W18" s="314" t="s">
        <v>104</v>
      </c>
      <c r="X18" s="315" t="s">
        <v>105</v>
      </c>
      <c r="Y18" s="318" t="s">
        <v>47</v>
      </c>
      <c r="Z18" s="455" t="s">
        <v>48</v>
      </c>
      <c r="AA18" s="314" t="s">
        <v>47</v>
      </c>
      <c r="AB18" s="315" t="s">
        <v>48</v>
      </c>
    </row>
    <row r="19" spans="2:28" ht="12.9" customHeight="1">
      <c r="B19" s="9">
        <f>FORMAT_P!$B$4</f>
        <v>57.734999999999999</v>
      </c>
      <c r="C19" s="3">
        <f>FORMAT_P!$C$4</f>
        <v>5</v>
      </c>
      <c r="D19" s="3">
        <f>FORMAT_P!$D$4</f>
        <v>1</v>
      </c>
      <c r="E19" s="3">
        <f>FORMAT_P!$E$4</f>
        <v>288.67500000000007</v>
      </c>
      <c r="F19" s="481">
        <f>FORMAT_P!$F$4</f>
        <v>288.67500000000007</v>
      </c>
      <c r="G19" s="9">
        <f>FORMAT_P!$N$4</f>
        <v>-288.67500000000007</v>
      </c>
      <c r="H19" s="95">
        <f>FORMAT_P!$Q$4</f>
        <v>-288.67500000000007</v>
      </c>
      <c r="I19" s="189">
        <f>FORMAT_P!$N$5</f>
        <v>2.0756291514809279E-14</v>
      </c>
      <c r="J19" s="222">
        <f>I19/10^0.5</f>
        <v>6.5637156965223872E-15</v>
      </c>
      <c r="K19" s="222">
        <f>0.000065*100</f>
        <v>6.4999999999999997E-3</v>
      </c>
      <c r="L19" s="222"/>
      <c r="M19" s="222">
        <f>100*0.001/2/$F$19</f>
        <v>1.7320516151381307E-4</v>
      </c>
      <c r="N19" s="546">
        <f>2*(J19^2+K19^2/4+L19^2/3+M19^2/3)^0.5</f>
        <v>6.5030761980235195E-3</v>
      </c>
      <c r="O19" s="189">
        <f>FORMAT_P!$Q$5</f>
        <v>2.0756291514809279E-14</v>
      </c>
      <c r="P19" s="222">
        <f>O19/10^0.5</f>
        <v>6.5637156965223872E-15</v>
      </c>
      <c r="Q19" s="222">
        <f>0.000065*100</f>
        <v>6.4999999999999997E-3</v>
      </c>
      <c r="R19" s="222"/>
      <c r="S19" s="222">
        <f>100*0.001/2/$F$19</f>
        <v>1.7320516151381307E-4</v>
      </c>
      <c r="T19" s="546">
        <f>2*(P19^2+Q19^2/4+R19^2/3+S19^2/3)^0.5</f>
        <v>6.5030761980235195E-3</v>
      </c>
      <c r="U19" s="547">
        <f>T19*0.01*E19</f>
        <v>1.8772755214644398E-2</v>
      </c>
      <c r="V19" s="535">
        <f>IF(T19&gt;N19,T19,N19)</f>
        <v>6.5030761980235195E-3</v>
      </c>
      <c r="W19" s="312">
        <f>0.001*$B$5*$C$5</f>
        <v>0.28867500000000001</v>
      </c>
      <c r="X19" s="458">
        <f>0.01*E19</f>
        <v>2.8867500000000006</v>
      </c>
      <c r="Y19" s="319" t="b">
        <f>IF(ABS(G19)&lt;W19,TRUE,FALSE)</f>
        <v>0</v>
      </c>
      <c r="Z19" s="467" t="b">
        <f>IF(ABS(H19)&lt;W19,TRUE,FALSE)</f>
        <v>0</v>
      </c>
      <c r="AA19" s="463" t="b">
        <f>IF(ABS(G19)&lt;X19,TRUE,FALSE)</f>
        <v>0</v>
      </c>
      <c r="AB19" s="316" t="b">
        <f>IF(ABS(H19)&lt;X19,TRUE,FALSE)</f>
        <v>0</v>
      </c>
    </row>
    <row r="20" spans="2:28" ht="12.9" customHeight="1">
      <c r="B20" s="85">
        <f>FORMAT_P!$B$17</f>
        <v>57.734999999999999</v>
      </c>
      <c r="C20" s="6">
        <f>FORMAT_P!$C$17</f>
        <v>5</v>
      </c>
      <c r="D20" s="6">
        <f>FORMAT_P!$D$17</f>
        <v>0.5</v>
      </c>
      <c r="E20" s="6">
        <f>FORMAT_P!$E$17</f>
        <v>144.33750000000003</v>
      </c>
      <c r="F20" s="143">
        <f>FORMAT_P!$F$17</f>
        <v>288.67500000000007</v>
      </c>
      <c r="G20" s="85">
        <f>FORMAT_P!$N$17</f>
        <v>-144.33750000000003</v>
      </c>
      <c r="H20" s="96">
        <f>FORMAT_P!$Q$17</f>
        <v>-144.33750000000003</v>
      </c>
      <c r="I20" s="85">
        <f>FORMAT_P!$N$18</f>
        <v>1.037814575740464E-14</v>
      </c>
      <c r="J20" s="199">
        <f t="shared" ref="J20:J27" si="15">I20/10^0.5</f>
        <v>3.2818578482611936E-15</v>
      </c>
      <c r="K20" s="199">
        <f>0.000093*100</f>
        <v>9.2999999999999992E-3</v>
      </c>
      <c r="L20" s="199"/>
      <c r="M20" s="199">
        <f>100*0.001/2/$F$20</f>
        <v>1.7320516151381307E-4</v>
      </c>
      <c r="N20" s="210">
        <f t="shared" ref="N20:N27" si="16">2*(J20^2+K20^2/4+L20^2/3+M20^2/3)^0.5</f>
        <v>9.3021502910509892E-3</v>
      </c>
      <c r="O20" s="85">
        <f>FORMAT_P!$Q$18</f>
        <v>1.037814575740464E-14</v>
      </c>
      <c r="P20" s="199">
        <f t="shared" ref="P20:P27" si="17">O20/10^0.5</f>
        <v>3.2818578482611936E-15</v>
      </c>
      <c r="Q20" s="199">
        <f>0.000093*100</f>
        <v>9.2999999999999992E-3</v>
      </c>
      <c r="R20" s="199"/>
      <c r="S20" s="199">
        <f>100*0.001/2/$F$20</f>
        <v>1.7320516151381307E-4</v>
      </c>
      <c r="T20" s="210">
        <f t="shared" ref="T20:T27" si="18">2*(P20^2+Q20^2/4+R20^2/3+S20^2/3)^0.5</f>
        <v>9.3021502910509892E-3</v>
      </c>
      <c r="U20" s="266">
        <f t="shared" ref="U20:U27" si="19">T20*0.01*E20</f>
        <v>1.3426491176345725E-2</v>
      </c>
      <c r="V20" s="541">
        <f t="shared" ref="V20:V27" si="20">IF(T20&gt;N20,T20,N20)</f>
        <v>9.3021502910509892E-3</v>
      </c>
      <c r="W20" s="312">
        <f t="shared" ref="W20:W27" si="21">0.001*$B$5*$C$5</f>
        <v>0.28867500000000001</v>
      </c>
      <c r="X20" s="458">
        <v>1.5</v>
      </c>
      <c r="Y20" s="319" t="b">
        <f t="shared" ref="Y20:Y27" si="22">IF(ABS(G20)&lt;W20,TRUE,FALSE)</f>
        <v>0</v>
      </c>
      <c r="Z20" s="467" t="b">
        <f t="shared" ref="Z20:Z27" si="23">IF(ABS(H20)&lt;W20,TRUE,FALSE)</f>
        <v>0</v>
      </c>
      <c r="AA20" s="463" t="b">
        <f t="shared" ref="AA20:AA27" si="24">IF(ABS(G20)&lt;X20,TRUE,FALSE)</f>
        <v>0</v>
      </c>
      <c r="AB20" s="316" t="b">
        <f t="shared" ref="AB20:AB27" si="25">IF(ABS(H20)&lt;X20,TRUE,FALSE)</f>
        <v>0</v>
      </c>
    </row>
    <row r="21" spans="2:28" ht="12.9" customHeight="1">
      <c r="B21" s="85">
        <f>FORMAT_P!$B$30</f>
        <v>57.734999999999999</v>
      </c>
      <c r="C21" s="6">
        <f>FORMAT_P!$C$30</f>
        <v>5</v>
      </c>
      <c r="D21" s="6">
        <f>FORMAT_P!$D$30</f>
        <v>0.5</v>
      </c>
      <c r="E21" s="6">
        <f>FORMAT_P!$E$30</f>
        <v>144.33750000000003</v>
      </c>
      <c r="F21" s="143">
        <f>FORMAT_P!$F$30</f>
        <v>288.67500000000007</v>
      </c>
      <c r="G21" s="85">
        <f>FORMAT_P!$N$30</f>
        <v>-144.33750000000003</v>
      </c>
      <c r="H21" s="96">
        <f>FORMAT_P!$Q$30</f>
        <v>-144.33750000000003</v>
      </c>
      <c r="I21" s="85">
        <f>FORMAT_P!$N$31</f>
        <v>1.037814575740464E-14</v>
      </c>
      <c r="J21" s="199">
        <f t="shared" si="15"/>
        <v>3.2818578482611936E-15</v>
      </c>
      <c r="K21" s="199">
        <f>0.000093*100</f>
        <v>9.2999999999999992E-3</v>
      </c>
      <c r="L21" s="199"/>
      <c r="M21" s="199">
        <f>100*0.001/2/$F$21</f>
        <v>1.7320516151381307E-4</v>
      </c>
      <c r="N21" s="210">
        <f t="shared" si="16"/>
        <v>9.3021502910509892E-3</v>
      </c>
      <c r="O21" s="85">
        <f>FORMAT_P!$Q$31</f>
        <v>1.037814575740464E-14</v>
      </c>
      <c r="P21" s="199">
        <f t="shared" si="17"/>
        <v>3.2818578482611936E-15</v>
      </c>
      <c r="Q21" s="199">
        <f>0.000093*100</f>
        <v>9.2999999999999992E-3</v>
      </c>
      <c r="R21" s="199"/>
      <c r="S21" s="199">
        <f>100*0.001/2/$F$21</f>
        <v>1.7320516151381307E-4</v>
      </c>
      <c r="T21" s="210">
        <f t="shared" si="18"/>
        <v>9.3021502910509892E-3</v>
      </c>
      <c r="U21" s="266">
        <f t="shared" si="19"/>
        <v>1.3426491176345725E-2</v>
      </c>
      <c r="V21" s="541">
        <f t="shared" si="20"/>
        <v>9.3021502910509892E-3</v>
      </c>
      <c r="W21" s="312">
        <f t="shared" si="21"/>
        <v>0.28867500000000001</v>
      </c>
      <c r="X21" s="458">
        <v>1.5</v>
      </c>
      <c r="Y21" s="319" t="b">
        <f t="shared" si="22"/>
        <v>0</v>
      </c>
      <c r="Z21" s="467" t="b">
        <f t="shared" si="23"/>
        <v>0</v>
      </c>
      <c r="AA21" s="463" t="b">
        <f t="shared" si="24"/>
        <v>0</v>
      </c>
      <c r="AB21" s="316" t="b">
        <f t="shared" si="25"/>
        <v>0</v>
      </c>
    </row>
    <row r="22" spans="2:28" ht="12.9" customHeight="1">
      <c r="B22" s="85">
        <f>FORMAT_P!$B$43</f>
        <v>57.734999999999999</v>
      </c>
      <c r="C22" s="6">
        <f>FORMAT_P!$C$43</f>
        <v>2.5</v>
      </c>
      <c r="D22" s="6">
        <f>FORMAT_P!$D$43</f>
        <v>1</v>
      </c>
      <c r="E22" s="6">
        <f>FORMAT_P!$E$43</f>
        <v>144.33750000000003</v>
      </c>
      <c r="F22" s="143">
        <f>FORMAT_P!$F$43</f>
        <v>144.33750000000003</v>
      </c>
      <c r="G22" s="85">
        <f>FORMAT_P!$N$43</f>
        <v>-144.33750000000003</v>
      </c>
      <c r="H22" s="96">
        <f>FORMAT_P!$Q$43</f>
        <v>-144.33750000000003</v>
      </c>
      <c r="I22" s="85">
        <f>FORMAT_P!$N$44</f>
        <v>2.0756291514809279E-14</v>
      </c>
      <c r="J22" s="199">
        <f t="shared" si="15"/>
        <v>6.5637156965223872E-15</v>
      </c>
      <c r="K22" s="199">
        <f t="shared" ref="K22" si="26">0.000065*100</f>
        <v>6.4999999999999997E-3</v>
      </c>
      <c r="L22" s="199"/>
      <c r="M22" s="199">
        <f>100*0.0001/2/$F$22</f>
        <v>3.4641032302762613E-5</v>
      </c>
      <c r="N22" s="210">
        <f t="shared" si="16"/>
        <v>6.5001230758726406E-3</v>
      </c>
      <c r="O22" s="85">
        <f>FORMAT_P!$Q$44</f>
        <v>2.0756291514809279E-14</v>
      </c>
      <c r="P22" s="199">
        <f t="shared" si="17"/>
        <v>6.5637156965223872E-15</v>
      </c>
      <c r="Q22" s="199">
        <f t="shared" ref="Q22" si="27">0.000065*100</f>
        <v>6.4999999999999997E-3</v>
      </c>
      <c r="R22" s="199"/>
      <c r="S22" s="199">
        <f>100*0.0001/2/$F$22</f>
        <v>3.4641032302762613E-5</v>
      </c>
      <c r="T22" s="210">
        <f t="shared" si="18"/>
        <v>6.5001230758726406E-3</v>
      </c>
      <c r="U22" s="156">
        <f t="shared" si="19"/>
        <v>9.3821151446376767E-3</v>
      </c>
      <c r="V22" s="541">
        <f t="shared" si="20"/>
        <v>6.5001230758726406E-3</v>
      </c>
      <c r="W22" s="312">
        <f t="shared" si="21"/>
        <v>0.28867500000000001</v>
      </c>
      <c r="X22" s="458">
        <v>1.5</v>
      </c>
      <c r="Y22" s="319" t="b">
        <f t="shared" si="22"/>
        <v>0</v>
      </c>
      <c r="Z22" s="467" t="b">
        <f t="shared" si="23"/>
        <v>0</v>
      </c>
      <c r="AA22" s="463" t="b">
        <f t="shared" si="24"/>
        <v>0</v>
      </c>
      <c r="AB22" s="316" t="b">
        <f t="shared" si="25"/>
        <v>0</v>
      </c>
    </row>
    <row r="23" spans="2:28" ht="12.9" customHeight="1">
      <c r="B23" s="85">
        <f>FORMAT_P!$B$56</f>
        <v>57.734999999999999</v>
      </c>
      <c r="C23" s="6">
        <f>FORMAT_P!$C$56</f>
        <v>1</v>
      </c>
      <c r="D23" s="6">
        <f>FORMAT_P!$D$56</f>
        <v>1</v>
      </c>
      <c r="E23" s="6">
        <f>FORMAT_P!$E$56</f>
        <v>57.734999999999999</v>
      </c>
      <c r="F23" s="143">
        <f>FORMAT_P!$F$56</f>
        <v>57.734999999999999</v>
      </c>
      <c r="G23" s="85">
        <f>FORMAT_P!$N$56</f>
        <v>-57.734999999999999</v>
      </c>
      <c r="H23" s="96">
        <f>FORMAT_P!$Q$56</f>
        <v>-57.734999999999999</v>
      </c>
      <c r="I23" s="85">
        <f>FORMAT_P!$N$57</f>
        <v>0</v>
      </c>
      <c r="J23" s="199">
        <f t="shared" si="15"/>
        <v>0</v>
      </c>
      <c r="K23" s="199">
        <f>0.000062*100</f>
        <v>6.2000000000000006E-3</v>
      </c>
      <c r="L23" s="199"/>
      <c r="M23" s="199">
        <f>100*0.0001/2/$F$23</f>
        <v>8.6602580756906563E-5</v>
      </c>
      <c r="N23" s="210">
        <f t="shared" si="16"/>
        <v>6.2008063999229182E-3</v>
      </c>
      <c r="O23" s="85">
        <f>FORMAT_P!$Q$57</f>
        <v>0</v>
      </c>
      <c r="P23" s="199">
        <f t="shared" si="17"/>
        <v>0</v>
      </c>
      <c r="Q23" s="199">
        <f>0.000062*100</f>
        <v>6.2000000000000006E-3</v>
      </c>
      <c r="R23" s="199"/>
      <c r="S23" s="199">
        <f>100*0.0001/2/$F$23</f>
        <v>8.6602580756906563E-5</v>
      </c>
      <c r="T23" s="210">
        <f t="shared" si="18"/>
        <v>6.2008063999229182E-3</v>
      </c>
      <c r="U23" s="156">
        <f t="shared" si="19"/>
        <v>3.5800355749954966E-3</v>
      </c>
      <c r="V23" s="541">
        <f t="shared" si="20"/>
        <v>6.2008063999229182E-3</v>
      </c>
      <c r="W23" s="312">
        <f t="shared" si="21"/>
        <v>0.28867500000000001</v>
      </c>
      <c r="X23" s="458">
        <v>1.5</v>
      </c>
      <c r="Y23" s="319" t="b">
        <f t="shared" si="22"/>
        <v>0</v>
      </c>
      <c r="Z23" s="467" t="b">
        <f t="shared" si="23"/>
        <v>0</v>
      </c>
      <c r="AA23" s="463" t="b">
        <f t="shared" si="24"/>
        <v>0</v>
      </c>
      <c r="AB23" s="316" t="b">
        <f t="shared" si="25"/>
        <v>0</v>
      </c>
    </row>
    <row r="24" spans="2:28" ht="12.9" customHeight="1">
      <c r="B24" s="85">
        <f>FORMAT_P!$B$69</f>
        <v>57.734999999999999</v>
      </c>
      <c r="C24" s="6">
        <f>FORMAT_P!$C$69</f>
        <v>0.5</v>
      </c>
      <c r="D24" s="6">
        <f>FORMAT_P!$D$69</f>
        <v>1</v>
      </c>
      <c r="E24" s="6">
        <f>FORMAT_P!$E$69</f>
        <v>28.8675</v>
      </c>
      <c r="F24" s="143">
        <f>FORMAT_P!$F$69</f>
        <v>28.8675</v>
      </c>
      <c r="G24" s="85">
        <f>FORMAT_P!$N$69</f>
        <v>-28.8675</v>
      </c>
      <c r="H24" s="96">
        <f>FORMAT_P!$Q$69</f>
        <v>-28.8675</v>
      </c>
      <c r="I24" s="85">
        <f>FORMAT_P!$N$70</f>
        <v>0</v>
      </c>
      <c r="J24" s="199">
        <f t="shared" si="15"/>
        <v>0</v>
      </c>
      <c r="K24" s="199">
        <f t="shared" ref="K24:K27" si="28">0.000062*100</f>
        <v>6.2000000000000006E-3</v>
      </c>
      <c r="L24" s="199"/>
      <c r="M24" s="199">
        <f>100*0.0001/2/$F$24</f>
        <v>1.7320516151381313E-4</v>
      </c>
      <c r="N24" s="210">
        <f t="shared" si="16"/>
        <v>6.2032249707148334E-3</v>
      </c>
      <c r="O24" s="85">
        <f>FORMAT_P!$Q$70</f>
        <v>0</v>
      </c>
      <c r="P24" s="199">
        <f t="shared" si="17"/>
        <v>0</v>
      </c>
      <c r="Q24" s="199">
        <f t="shared" ref="Q24:Q27" si="29">0.000062*100</f>
        <v>6.2000000000000006E-3</v>
      </c>
      <c r="R24" s="199"/>
      <c r="S24" s="199">
        <f>100*0.0001/2/$F$24</f>
        <v>1.7320516151381313E-4</v>
      </c>
      <c r="T24" s="210">
        <f t="shared" si="18"/>
        <v>6.2032249707148334E-3</v>
      </c>
      <c r="U24" s="156">
        <f t="shared" si="19"/>
        <v>1.7907159684211044E-3</v>
      </c>
      <c r="V24" s="541">
        <f t="shared" si="20"/>
        <v>6.2032249707148334E-3</v>
      </c>
      <c r="W24" s="312">
        <f t="shared" si="21"/>
        <v>0.28867500000000001</v>
      </c>
      <c r="X24" s="458">
        <v>1.5</v>
      </c>
      <c r="Y24" s="319" t="b">
        <f t="shared" si="22"/>
        <v>0</v>
      </c>
      <c r="Z24" s="467" t="b">
        <f t="shared" si="23"/>
        <v>0</v>
      </c>
      <c r="AA24" s="463" t="b">
        <f t="shared" si="24"/>
        <v>0</v>
      </c>
      <c r="AB24" s="316" t="b">
        <f t="shared" si="25"/>
        <v>0</v>
      </c>
    </row>
    <row r="25" spans="2:28" ht="12.9" customHeight="1">
      <c r="B25" s="85">
        <f>FORMAT_P!$B$82</f>
        <v>57.734999999999999</v>
      </c>
      <c r="C25" s="6">
        <f>FORMAT_P!$C$82</f>
        <v>0.25</v>
      </c>
      <c r="D25" s="6">
        <f>FORMAT_P!$D$82</f>
        <v>1</v>
      </c>
      <c r="E25" s="6">
        <f>FORMAT_P!$E$82</f>
        <v>14.43375</v>
      </c>
      <c r="F25" s="143">
        <f>FORMAT_P!$F$82</f>
        <v>14.43375</v>
      </c>
      <c r="G25" s="85">
        <f>FORMAT_P!$N$82</f>
        <v>-14.43375</v>
      </c>
      <c r="H25" s="96">
        <f>FORMAT_P!$Q$82</f>
        <v>-14.43375</v>
      </c>
      <c r="I25" s="85">
        <f>FORMAT_P!$N$83</f>
        <v>0</v>
      </c>
      <c r="J25" s="199">
        <f t="shared" si="15"/>
        <v>0</v>
      </c>
      <c r="K25" s="199">
        <f t="shared" si="28"/>
        <v>6.2000000000000006E-3</v>
      </c>
      <c r="L25" s="199"/>
      <c r="M25" s="199">
        <f>100*0.00001/2/$F$25</f>
        <v>3.4641032302762627E-5</v>
      </c>
      <c r="N25" s="210">
        <f t="shared" si="16"/>
        <v>6.2001290310357265E-3</v>
      </c>
      <c r="O25" s="85">
        <f>FORMAT_P!$Q$83</f>
        <v>0</v>
      </c>
      <c r="P25" s="199">
        <f t="shared" si="17"/>
        <v>0</v>
      </c>
      <c r="Q25" s="199">
        <f t="shared" si="29"/>
        <v>6.2000000000000006E-3</v>
      </c>
      <c r="R25" s="199"/>
      <c r="S25" s="199">
        <f>100*0.00001/2/$F$25</f>
        <v>3.4641032302762627E-5</v>
      </c>
      <c r="T25" s="210">
        <f t="shared" si="18"/>
        <v>6.2001290310357265E-3</v>
      </c>
      <c r="U25" s="268">
        <f t="shared" si="19"/>
        <v>8.9491112401711914E-4</v>
      </c>
      <c r="V25" s="545">
        <f t="shared" si="20"/>
        <v>6.2001290310357265E-3</v>
      </c>
      <c r="W25" s="312">
        <f t="shared" si="21"/>
        <v>0.28867500000000001</v>
      </c>
      <c r="X25" s="458">
        <v>1.5</v>
      </c>
      <c r="Y25" s="319" t="b">
        <f t="shared" si="22"/>
        <v>0</v>
      </c>
      <c r="Z25" s="467" t="b">
        <f t="shared" si="23"/>
        <v>0</v>
      </c>
      <c r="AA25" s="463" t="b">
        <f t="shared" si="24"/>
        <v>0</v>
      </c>
      <c r="AB25" s="316" t="b">
        <f t="shared" si="25"/>
        <v>0</v>
      </c>
    </row>
    <row r="26" spans="2:28" ht="12.9" customHeight="1">
      <c r="B26" s="85">
        <f>FORMAT_P!$B$95</f>
        <v>57.734999999999999</v>
      </c>
      <c r="C26" s="6">
        <f>FORMAT_P!$C$95</f>
        <v>9.9999999999999992E-2</v>
      </c>
      <c r="D26" s="6">
        <f>FORMAT_P!$D$95</f>
        <v>1</v>
      </c>
      <c r="E26" s="6">
        <f>FORMAT_P!$E$95</f>
        <v>5.7734999999999994</v>
      </c>
      <c r="F26" s="143">
        <f>FORMAT_P!$F$95</f>
        <v>5.7734999999999994</v>
      </c>
      <c r="G26" s="85">
        <f>FORMAT_P!$N$95</f>
        <v>-5.7734999999999994</v>
      </c>
      <c r="H26" s="96">
        <f>FORMAT_P!$Q$95</f>
        <v>-5.7734999999999994</v>
      </c>
      <c r="I26" s="85">
        <f>FORMAT_P!$N$96</f>
        <v>1.6215852745944756E-14</v>
      </c>
      <c r="J26" s="199">
        <f t="shared" si="15"/>
        <v>5.1279028879081166E-15</v>
      </c>
      <c r="K26" s="199">
        <f t="shared" si="28"/>
        <v>6.2000000000000006E-3</v>
      </c>
      <c r="L26" s="199"/>
      <c r="M26" s="199">
        <f>100*0.00001/2/$F$26</f>
        <v>8.6602580756906563E-5</v>
      </c>
      <c r="N26" s="210">
        <f t="shared" si="16"/>
        <v>6.2008063999229182E-3</v>
      </c>
      <c r="O26" s="85">
        <f>FORMAT_P!$Q$96</f>
        <v>1.6215852745944756E-14</v>
      </c>
      <c r="P26" s="199">
        <f t="shared" si="17"/>
        <v>5.1279028879081166E-15</v>
      </c>
      <c r="Q26" s="199">
        <f t="shared" si="29"/>
        <v>6.2000000000000006E-3</v>
      </c>
      <c r="R26" s="199"/>
      <c r="S26" s="199">
        <f>100*0.00001/2/$F$26</f>
        <v>8.6602580756906563E-5</v>
      </c>
      <c r="T26" s="210">
        <f t="shared" si="18"/>
        <v>6.2008063999229182E-3</v>
      </c>
      <c r="U26" s="268">
        <f t="shared" si="19"/>
        <v>3.5800355749954964E-4</v>
      </c>
      <c r="V26" s="541">
        <f t="shared" si="20"/>
        <v>6.2008063999229182E-3</v>
      </c>
      <c r="W26" s="312">
        <f t="shared" si="21"/>
        <v>0.28867500000000001</v>
      </c>
      <c r="X26" s="458">
        <v>1.5</v>
      </c>
      <c r="Y26" s="319" t="b">
        <f t="shared" si="22"/>
        <v>0</v>
      </c>
      <c r="Z26" s="467" t="b">
        <f t="shared" si="23"/>
        <v>0</v>
      </c>
      <c r="AA26" s="463" t="b">
        <f t="shared" si="24"/>
        <v>0</v>
      </c>
      <c r="AB26" s="316" t="b">
        <f t="shared" si="25"/>
        <v>0</v>
      </c>
    </row>
    <row r="27" spans="2:28" ht="12.9" customHeight="1" thickBot="1">
      <c r="B27" s="86">
        <f>FORMAT_P!$B$108</f>
        <v>72.168800000000019</v>
      </c>
      <c r="C27" s="17">
        <f>FORMAT_P!$C$108</f>
        <v>4.9999999999999996E-2</v>
      </c>
      <c r="D27" s="17">
        <f>FORMAT_P!$D$108</f>
        <v>1</v>
      </c>
      <c r="E27" s="17">
        <f>FORMAT_P!$E$108</f>
        <v>3.6084400000000008</v>
      </c>
      <c r="F27" s="144">
        <f>FORMAT_P!$F$108</f>
        <v>3.6084400000000008</v>
      </c>
      <c r="G27" s="86">
        <f>FORMAT_P!$N$108</f>
        <v>-3.6084400000000008</v>
      </c>
      <c r="H27" s="97">
        <f>FORMAT_P!$Q$108</f>
        <v>-3.6084400000000008</v>
      </c>
      <c r="I27" s="86">
        <f>FORMAT_P!$N$109</f>
        <v>1.2972673209019965E-14</v>
      </c>
      <c r="J27" s="211">
        <f t="shared" si="15"/>
        <v>4.1023194681548678E-15</v>
      </c>
      <c r="K27" s="211">
        <f t="shared" si="28"/>
        <v>6.2000000000000006E-3</v>
      </c>
      <c r="L27" s="211"/>
      <c r="M27" s="211">
        <f>100*0.00001/2/$F$27</f>
        <v>1.3856403321102744E-4</v>
      </c>
      <c r="N27" s="213">
        <f t="shared" si="16"/>
        <v>6.2020641715802667E-3</v>
      </c>
      <c r="O27" s="86">
        <f>FORMAT_P!$Q$109</f>
        <v>1.2972673209019965E-14</v>
      </c>
      <c r="P27" s="211">
        <f t="shared" si="17"/>
        <v>4.1023194681548678E-15</v>
      </c>
      <c r="Q27" s="211">
        <f t="shared" si="29"/>
        <v>6.2000000000000006E-3</v>
      </c>
      <c r="R27" s="211"/>
      <c r="S27" s="211">
        <f>100*0.00001/2/$F$27</f>
        <v>1.3856403321102744E-4</v>
      </c>
      <c r="T27" s="213">
        <f t="shared" si="18"/>
        <v>6.2020641715802667E-3</v>
      </c>
      <c r="U27" s="269">
        <f t="shared" si="19"/>
        <v>2.2379776439297101E-4</v>
      </c>
      <c r="V27" s="531">
        <f t="shared" si="20"/>
        <v>6.2020641715802667E-3</v>
      </c>
      <c r="W27" s="313">
        <f t="shared" si="21"/>
        <v>0.28867500000000001</v>
      </c>
      <c r="X27" s="462">
        <v>1.5</v>
      </c>
      <c r="Y27" s="320" t="b">
        <f t="shared" si="22"/>
        <v>0</v>
      </c>
      <c r="Z27" s="468" t="b">
        <f t="shared" si="23"/>
        <v>0</v>
      </c>
      <c r="AA27" s="464" t="b">
        <f t="shared" si="24"/>
        <v>0</v>
      </c>
      <c r="AB27" s="317" t="b">
        <f t="shared" si="25"/>
        <v>0</v>
      </c>
    </row>
    <row r="29" spans="2:28" ht="12" thickBot="1"/>
    <row r="30" spans="2:28" s="77" customFormat="1" ht="15.75" customHeight="1" thickBot="1">
      <c r="B30" s="629" t="s">
        <v>57</v>
      </c>
      <c r="C30" s="630"/>
      <c r="D30" s="630"/>
      <c r="E30" s="630"/>
      <c r="F30" s="630"/>
      <c r="G30" s="630"/>
      <c r="H30" s="631"/>
      <c r="I30" s="619" t="s">
        <v>58</v>
      </c>
      <c r="J30" s="620"/>
      <c r="K30" s="620"/>
      <c r="L30" s="620"/>
      <c r="M30" s="620"/>
      <c r="N30" s="620"/>
      <c r="O30" s="620"/>
      <c r="P30" s="620"/>
      <c r="Q30" s="620"/>
      <c r="R30" s="620"/>
      <c r="S30" s="620"/>
      <c r="T30" s="621"/>
    </row>
    <row r="31" spans="2:28" ht="17.25" customHeight="1" thickBot="1">
      <c r="B31" s="624" t="s">
        <v>46</v>
      </c>
      <c r="C31" s="633"/>
      <c r="D31" s="633"/>
      <c r="E31" s="633"/>
      <c r="F31" s="634"/>
      <c r="G31" s="624" t="s">
        <v>77</v>
      </c>
      <c r="H31" s="625"/>
      <c r="I31" s="626" t="s">
        <v>47</v>
      </c>
      <c r="J31" s="627"/>
      <c r="K31" s="627"/>
      <c r="L31" s="627"/>
      <c r="M31" s="627"/>
      <c r="N31" s="628"/>
      <c r="O31" s="626" t="s">
        <v>48</v>
      </c>
      <c r="P31" s="627"/>
      <c r="Q31" s="627"/>
      <c r="R31" s="627"/>
      <c r="S31" s="627"/>
      <c r="T31" s="628"/>
      <c r="W31" s="614" t="s">
        <v>110</v>
      </c>
      <c r="X31" s="615"/>
      <c r="Y31" s="612" t="s">
        <v>107</v>
      </c>
      <c r="Z31" s="613"/>
      <c r="AA31" s="614" t="s">
        <v>108</v>
      </c>
      <c r="AB31" s="615"/>
    </row>
    <row r="32" spans="2:28" ht="16.5" customHeight="1" thickBot="1">
      <c r="B32" s="253" t="s">
        <v>14</v>
      </c>
      <c r="C32" s="478" t="s">
        <v>143</v>
      </c>
      <c r="D32" s="479" t="s">
        <v>0</v>
      </c>
      <c r="E32" s="254" t="s">
        <v>147</v>
      </c>
      <c r="F32" s="480" t="s">
        <v>148</v>
      </c>
      <c r="G32" s="253" t="s">
        <v>78</v>
      </c>
      <c r="H32" s="255" t="s">
        <v>79</v>
      </c>
      <c r="I32" s="218" t="s">
        <v>49</v>
      </c>
      <c r="J32" s="219" t="s">
        <v>50</v>
      </c>
      <c r="K32" s="219" t="s">
        <v>51</v>
      </c>
      <c r="L32" s="219" t="s">
        <v>52</v>
      </c>
      <c r="M32" s="219" t="s">
        <v>53</v>
      </c>
      <c r="N32" s="220" t="s">
        <v>54</v>
      </c>
      <c r="O32" s="218" t="s">
        <v>49</v>
      </c>
      <c r="P32" s="219" t="s">
        <v>50</v>
      </c>
      <c r="Q32" s="219" t="s">
        <v>51</v>
      </c>
      <c r="R32" s="219" t="s">
        <v>52</v>
      </c>
      <c r="S32" s="219" t="s">
        <v>53</v>
      </c>
      <c r="T32" s="220" t="s">
        <v>54</v>
      </c>
      <c r="U32" s="533" t="s">
        <v>87</v>
      </c>
      <c r="V32" s="540" t="s">
        <v>54</v>
      </c>
      <c r="W32" s="314" t="s">
        <v>104</v>
      </c>
      <c r="X32" s="315" t="s">
        <v>105</v>
      </c>
      <c r="Y32" s="318" t="s">
        <v>47</v>
      </c>
      <c r="Z32" s="455" t="s">
        <v>48</v>
      </c>
      <c r="AA32" s="314" t="s">
        <v>47</v>
      </c>
      <c r="AB32" s="315" t="s">
        <v>48</v>
      </c>
    </row>
    <row r="33" spans="2:28" ht="12.9" customHeight="1">
      <c r="B33" s="85">
        <f>FORMAT_P!$B$4</f>
        <v>57.734999999999999</v>
      </c>
      <c r="C33" s="6">
        <f>FORMAT_P!$C$4</f>
        <v>5</v>
      </c>
      <c r="D33" s="6">
        <f>FORMAT_P!$D$4</f>
        <v>1</v>
      </c>
      <c r="E33" s="6">
        <f>FORMAT_P!$E$4</f>
        <v>288.67500000000007</v>
      </c>
      <c r="F33" s="143">
        <f>FORMAT_P!$F$4</f>
        <v>288.67500000000007</v>
      </c>
      <c r="G33" s="85">
        <f>FORMAT_P!$O$4</f>
        <v>-288.67500000000007</v>
      </c>
      <c r="H33" s="96">
        <f>FORMAT_P!$R$4</f>
        <v>-288.67500000000007</v>
      </c>
      <c r="I33" s="189">
        <f>FORMAT_P!$O$5</f>
        <v>2.0756291514809279E-14</v>
      </c>
      <c r="J33" s="222">
        <f>I33/10^0.5</f>
        <v>6.5637156965223872E-15</v>
      </c>
      <c r="K33" s="222">
        <f>0.000065*100</f>
        <v>6.4999999999999997E-3</v>
      </c>
      <c r="L33" s="222"/>
      <c r="M33" s="222">
        <f>100*0.001/2/$F$33</f>
        <v>1.7320516151381307E-4</v>
      </c>
      <c r="N33" s="546">
        <f>2*(J33^2+K33^2/4+L33^2/3+M33^2/3)^0.5</f>
        <v>6.5030761980235195E-3</v>
      </c>
      <c r="O33" s="189">
        <f>FORMAT_P!$R$5</f>
        <v>2.0756291514809279E-14</v>
      </c>
      <c r="P33" s="222">
        <f>O33/10^0.5</f>
        <v>6.5637156965223872E-15</v>
      </c>
      <c r="Q33" s="222">
        <f>0.000065*100</f>
        <v>6.4999999999999997E-3</v>
      </c>
      <c r="R33" s="222"/>
      <c r="S33" s="222">
        <f>100*0.001/2/$F$33</f>
        <v>1.7320516151381307E-4</v>
      </c>
      <c r="T33" s="546">
        <f>2*(P33^2+Q33^2/4+R33^2/3+S33^2/3)^0.5</f>
        <v>6.5030761980235195E-3</v>
      </c>
      <c r="U33" s="547">
        <f>T33*0.01*E33</f>
        <v>1.8772755214644398E-2</v>
      </c>
      <c r="V33" s="535">
        <f>IF(T33&gt;N33,T33,N33)</f>
        <v>6.5030761980235195E-3</v>
      </c>
      <c r="W33" s="312">
        <f>0.001*$B$5*$C$5</f>
        <v>0.28867500000000001</v>
      </c>
      <c r="X33" s="458">
        <f>0.01*E33</f>
        <v>2.8867500000000006</v>
      </c>
      <c r="Y33" s="319" t="b">
        <f>IF(ABS(G33)&lt;W33,TRUE,FALSE)</f>
        <v>0</v>
      </c>
      <c r="Z33" s="467" t="b">
        <f>IF(ABS(H33)&lt;W33,TRUE,FALSE)</f>
        <v>0</v>
      </c>
      <c r="AA33" s="463" t="b">
        <f>IF(ABS(G33)&lt;X33,TRUE,FALSE)</f>
        <v>0</v>
      </c>
      <c r="AB33" s="316" t="b">
        <f>IF(ABS(H33)&lt;X33,TRUE,FALSE)</f>
        <v>0</v>
      </c>
    </row>
    <row r="34" spans="2:28" ht="12.9" customHeight="1">
      <c r="B34" s="85">
        <f>FORMAT_P!$B$17</f>
        <v>57.734999999999999</v>
      </c>
      <c r="C34" s="6">
        <f>FORMAT_P!$C$17</f>
        <v>5</v>
      </c>
      <c r="D34" s="6">
        <f>FORMAT_P!$D$17</f>
        <v>0.5</v>
      </c>
      <c r="E34" s="6">
        <f>FORMAT_P!$E$17</f>
        <v>144.33750000000003</v>
      </c>
      <c r="F34" s="143">
        <f>FORMAT_P!$F$17</f>
        <v>288.67500000000007</v>
      </c>
      <c r="G34" s="85">
        <f>FORMAT_P!$O$17</f>
        <v>-144.33750000000003</v>
      </c>
      <c r="H34" s="96">
        <f>FORMAT_P!$R$17</f>
        <v>-144.33750000000003</v>
      </c>
      <c r="I34" s="85">
        <f>FORMAT_P!$O$18</f>
        <v>1.037814575740464E-14</v>
      </c>
      <c r="J34" s="199">
        <f t="shared" ref="J34:J41" si="30">I34/10^0.5</f>
        <v>3.2818578482611936E-15</v>
      </c>
      <c r="K34" s="199">
        <f>0.000093*100</f>
        <v>9.2999999999999992E-3</v>
      </c>
      <c r="L34" s="199"/>
      <c r="M34" s="199">
        <f>100*0.001/2/$F$34</f>
        <v>1.7320516151381307E-4</v>
      </c>
      <c r="N34" s="210">
        <f t="shared" ref="N34:N41" si="31">2*(J34^2+K34^2/4+L34^2/3+M34^2/3)^0.5</f>
        <v>9.3021502910509892E-3</v>
      </c>
      <c r="O34" s="85">
        <f>FORMAT_P!$R$18</f>
        <v>1.037814575740464E-14</v>
      </c>
      <c r="P34" s="199">
        <f t="shared" ref="P34:P41" si="32">O34/10^0.5</f>
        <v>3.2818578482611936E-15</v>
      </c>
      <c r="Q34" s="199">
        <f>0.000093*100</f>
        <v>9.2999999999999992E-3</v>
      </c>
      <c r="R34" s="199"/>
      <c r="S34" s="199">
        <f>100*0.001/2/$F$34</f>
        <v>1.7320516151381307E-4</v>
      </c>
      <c r="T34" s="210">
        <f t="shared" ref="T34:T41" si="33">2*(P34^2+Q34^2/4+R34^2/3+S34^2/3)^0.5</f>
        <v>9.3021502910509892E-3</v>
      </c>
      <c r="U34" s="266">
        <f t="shared" ref="U34:U41" si="34">T34*0.01*E34</f>
        <v>1.3426491176345725E-2</v>
      </c>
      <c r="V34" s="541">
        <f t="shared" ref="V34:V41" si="35">IF(T34&gt;N34,T34,N34)</f>
        <v>9.3021502910509892E-3</v>
      </c>
      <c r="W34" s="312">
        <f t="shared" ref="W34:W41" si="36">0.001*$B$5*$C$5</f>
        <v>0.28867500000000001</v>
      </c>
      <c r="X34" s="458">
        <v>1.5</v>
      </c>
      <c r="Y34" s="319" t="b">
        <f t="shared" ref="Y34:Y41" si="37">IF(ABS(G34)&lt;W34,TRUE,FALSE)</f>
        <v>0</v>
      </c>
      <c r="Z34" s="467" t="b">
        <f t="shared" ref="Z34:Z41" si="38">IF(ABS(H34)&lt;W34,TRUE,FALSE)</f>
        <v>0</v>
      </c>
      <c r="AA34" s="463" t="b">
        <f t="shared" ref="AA34:AA41" si="39">IF(ABS(G34)&lt;X34,TRUE,FALSE)</f>
        <v>0</v>
      </c>
      <c r="AB34" s="316" t="b">
        <f t="shared" ref="AB34:AB41" si="40">IF(ABS(H34)&lt;X34,TRUE,FALSE)</f>
        <v>0</v>
      </c>
    </row>
    <row r="35" spans="2:28" ht="12.9" customHeight="1">
      <c r="B35" s="85">
        <f>FORMAT_P!$B$30</f>
        <v>57.734999999999999</v>
      </c>
      <c r="C35" s="6">
        <f>FORMAT_P!$C$30</f>
        <v>5</v>
      </c>
      <c r="D35" s="6">
        <f>FORMAT_P!$D$30</f>
        <v>0.5</v>
      </c>
      <c r="E35" s="6">
        <f>FORMAT_P!$E$30</f>
        <v>144.33750000000003</v>
      </c>
      <c r="F35" s="143">
        <f>FORMAT_P!$F$30</f>
        <v>288.67500000000007</v>
      </c>
      <c r="G35" s="85">
        <f>FORMAT_P!$O$30</f>
        <v>-144.33750000000003</v>
      </c>
      <c r="H35" s="96">
        <f>FORMAT_P!$R$30</f>
        <v>-144.33750000000003</v>
      </c>
      <c r="I35" s="85">
        <f>FORMAT_P!$O$31</f>
        <v>1.037814575740464E-14</v>
      </c>
      <c r="J35" s="199">
        <f t="shared" si="30"/>
        <v>3.2818578482611936E-15</v>
      </c>
      <c r="K35" s="199">
        <f>0.000093*100</f>
        <v>9.2999999999999992E-3</v>
      </c>
      <c r="L35" s="199"/>
      <c r="M35" s="199">
        <f>100*0.001/2/$F$35</f>
        <v>1.7320516151381307E-4</v>
      </c>
      <c r="N35" s="210">
        <f t="shared" si="31"/>
        <v>9.3021502910509892E-3</v>
      </c>
      <c r="O35" s="85">
        <f>FORMAT_P!$R$31</f>
        <v>1.037814575740464E-14</v>
      </c>
      <c r="P35" s="199">
        <f t="shared" si="32"/>
        <v>3.2818578482611936E-15</v>
      </c>
      <c r="Q35" s="199">
        <f>0.000093*100</f>
        <v>9.2999999999999992E-3</v>
      </c>
      <c r="R35" s="199"/>
      <c r="S35" s="199">
        <f>100*0.001/2/$F$35</f>
        <v>1.7320516151381307E-4</v>
      </c>
      <c r="T35" s="210">
        <f t="shared" si="33"/>
        <v>9.3021502910509892E-3</v>
      </c>
      <c r="U35" s="266">
        <f t="shared" si="34"/>
        <v>1.3426491176345725E-2</v>
      </c>
      <c r="V35" s="541">
        <f t="shared" si="35"/>
        <v>9.3021502910509892E-3</v>
      </c>
      <c r="W35" s="312">
        <f t="shared" si="36"/>
        <v>0.28867500000000001</v>
      </c>
      <c r="X35" s="458">
        <v>1.5</v>
      </c>
      <c r="Y35" s="319" t="b">
        <f t="shared" si="37"/>
        <v>0</v>
      </c>
      <c r="Z35" s="467" t="b">
        <f t="shared" si="38"/>
        <v>0</v>
      </c>
      <c r="AA35" s="463" t="b">
        <f t="shared" si="39"/>
        <v>0</v>
      </c>
      <c r="AB35" s="316" t="b">
        <f t="shared" si="40"/>
        <v>0</v>
      </c>
    </row>
    <row r="36" spans="2:28" ht="12.9" customHeight="1">
      <c r="B36" s="85">
        <f>FORMAT_P!$B$43</f>
        <v>57.734999999999999</v>
      </c>
      <c r="C36" s="6">
        <f>FORMAT_P!$C$43</f>
        <v>2.5</v>
      </c>
      <c r="D36" s="6">
        <f>FORMAT_P!$D$43</f>
        <v>1</v>
      </c>
      <c r="E36" s="6">
        <f>FORMAT_P!$E$43</f>
        <v>144.33750000000003</v>
      </c>
      <c r="F36" s="143">
        <f>FORMAT_P!$F$43</f>
        <v>144.33750000000003</v>
      </c>
      <c r="G36" s="85">
        <f>FORMAT_P!$O$43</f>
        <v>-144.33750000000003</v>
      </c>
      <c r="H36" s="96">
        <f>FORMAT_P!$R$43</f>
        <v>-144.33750000000003</v>
      </c>
      <c r="I36" s="85">
        <f>FORMAT_P!$O$44</f>
        <v>2.0756291514809279E-14</v>
      </c>
      <c r="J36" s="199">
        <f t="shared" si="30"/>
        <v>6.5637156965223872E-15</v>
      </c>
      <c r="K36" s="199">
        <f t="shared" ref="K36" si="41">0.000065*100</f>
        <v>6.4999999999999997E-3</v>
      </c>
      <c r="L36" s="199"/>
      <c r="M36" s="199">
        <f>100*0.0001/2/$F$36</f>
        <v>3.4641032302762613E-5</v>
      </c>
      <c r="N36" s="210">
        <f t="shared" si="31"/>
        <v>6.5001230758726406E-3</v>
      </c>
      <c r="O36" s="85">
        <f>FORMAT_P!$R$44</f>
        <v>2.0756291514809279E-14</v>
      </c>
      <c r="P36" s="199">
        <f t="shared" si="32"/>
        <v>6.5637156965223872E-15</v>
      </c>
      <c r="Q36" s="199">
        <f t="shared" ref="Q36" si="42">0.000065*100</f>
        <v>6.4999999999999997E-3</v>
      </c>
      <c r="R36" s="199"/>
      <c r="S36" s="199">
        <f>100*0.0001/2/$F$36</f>
        <v>3.4641032302762613E-5</v>
      </c>
      <c r="T36" s="210">
        <f t="shared" si="33"/>
        <v>6.5001230758726406E-3</v>
      </c>
      <c r="U36" s="156">
        <f t="shared" si="34"/>
        <v>9.3821151446376767E-3</v>
      </c>
      <c r="V36" s="541">
        <f t="shared" si="35"/>
        <v>6.5001230758726406E-3</v>
      </c>
      <c r="W36" s="312">
        <f t="shared" si="36"/>
        <v>0.28867500000000001</v>
      </c>
      <c r="X36" s="458">
        <v>1.5</v>
      </c>
      <c r="Y36" s="319" t="b">
        <f t="shared" si="37"/>
        <v>0</v>
      </c>
      <c r="Z36" s="467" t="b">
        <f t="shared" si="38"/>
        <v>0</v>
      </c>
      <c r="AA36" s="463" t="b">
        <f t="shared" si="39"/>
        <v>0</v>
      </c>
      <c r="AB36" s="316" t="b">
        <f t="shared" si="40"/>
        <v>0</v>
      </c>
    </row>
    <row r="37" spans="2:28" ht="12.9" customHeight="1">
      <c r="B37" s="85">
        <f>FORMAT_P!$B$56</f>
        <v>57.734999999999999</v>
      </c>
      <c r="C37" s="6">
        <f>FORMAT_P!$C$56</f>
        <v>1</v>
      </c>
      <c r="D37" s="6">
        <f>FORMAT_P!$D$56</f>
        <v>1</v>
      </c>
      <c r="E37" s="6">
        <f>FORMAT_P!$E$56</f>
        <v>57.734999999999999</v>
      </c>
      <c r="F37" s="143">
        <f>FORMAT_P!$F$56</f>
        <v>57.734999999999999</v>
      </c>
      <c r="G37" s="85">
        <f>FORMAT_P!$O$56</f>
        <v>-57.734999999999999</v>
      </c>
      <c r="H37" s="96">
        <f>FORMAT_P!$R$56</f>
        <v>-57.734999999999999</v>
      </c>
      <c r="I37" s="85">
        <f>FORMAT_P!$O$57</f>
        <v>0</v>
      </c>
      <c r="J37" s="199">
        <f t="shared" si="30"/>
        <v>0</v>
      </c>
      <c r="K37" s="199">
        <f>0.000062*100</f>
        <v>6.2000000000000006E-3</v>
      </c>
      <c r="L37" s="199"/>
      <c r="M37" s="199">
        <f>100*0.0001/2/$F$37</f>
        <v>8.6602580756906563E-5</v>
      </c>
      <c r="N37" s="210">
        <f t="shared" si="31"/>
        <v>6.2008063999229182E-3</v>
      </c>
      <c r="O37" s="85">
        <f>FORMAT_P!$R$57</f>
        <v>0</v>
      </c>
      <c r="P37" s="199">
        <f t="shared" si="32"/>
        <v>0</v>
      </c>
      <c r="Q37" s="199">
        <f>0.000062*100</f>
        <v>6.2000000000000006E-3</v>
      </c>
      <c r="R37" s="199"/>
      <c r="S37" s="199">
        <f>100*0.0001/2/$F$37</f>
        <v>8.6602580756906563E-5</v>
      </c>
      <c r="T37" s="210">
        <f t="shared" si="33"/>
        <v>6.2008063999229182E-3</v>
      </c>
      <c r="U37" s="156">
        <f t="shared" si="34"/>
        <v>3.5800355749954966E-3</v>
      </c>
      <c r="V37" s="541">
        <f t="shared" si="35"/>
        <v>6.2008063999229182E-3</v>
      </c>
      <c r="W37" s="312">
        <f t="shared" si="36"/>
        <v>0.28867500000000001</v>
      </c>
      <c r="X37" s="458">
        <v>1.5</v>
      </c>
      <c r="Y37" s="319" t="b">
        <f t="shared" si="37"/>
        <v>0</v>
      </c>
      <c r="Z37" s="467" t="b">
        <f t="shared" si="38"/>
        <v>0</v>
      </c>
      <c r="AA37" s="463" t="b">
        <f t="shared" si="39"/>
        <v>0</v>
      </c>
      <c r="AB37" s="316" t="b">
        <f t="shared" si="40"/>
        <v>0</v>
      </c>
    </row>
    <row r="38" spans="2:28" ht="12.9" customHeight="1">
      <c r="B38" s="85">
        <f>FORMAT_P!$B$69</f>
        <v>57.734999999999999</v>
      </c>
      <c r="C38" s="6">
        <f>FORMAT_P!$C$69</f>
        <v>0.5</v>
      </c>
      <c r="D38" s="6">
        <f>FORMAT_P!$D$69</f>
        <v>1</v>
      </c>
      <c r="E38" s="6">
        <f>FORMAT_P!$E$69</f>
        <v>28.8675</v>
      </c>
      <c r="F38" s="143">
        <f>FORMAT_P!$F$69</f>
        <v>28.8675</v>
      </c>
      <c r="G38" s="85">
        <f>FORMAT_P!$O$69</f>
        <v>-28.8675</v>
      </c>
      <c r="H38" s="96">
        <f>FORMAT_P!$R$69</f>
        <v>-28.8675</v>
      </c>
      <c r="I38" s="85">
        <f>FORMAT_P!$O$70</f>
        <v>0</v>
      </c>
      <c r="J38" s="199">
        <f t="shared" si="30"/>
        <v>0</v>
      </c>
      <c r="K38" s="199">
        <f t="shared" ref="K38:K41" si="43">0.000062*100</f>
        <v>6.2000000000000006E-3</v>
      </c>
      <c r="L38" s="199"/>
      <c r="M38" s="199">
        <f>100*0.0001/2/$F$38</f>
        <v>1.7320516151381313E-4</v>
      </c>
      <c r="N38" s="210">
        <f t="shared" si="31"/>
        <v>6.2032249707148334E-3</v>
      </c>
      <c r="O38" s="85">
        <f>FORMAT_P!$R$70</f>
        <v>0</v>
      </c>
      <c r="P38" s="199">
        <f t="shared" si="32"/>
        <v>0</v>
      </c>
      <c r="Q38" s="199">
        <f t="shared" ref="Q38:Q41" si="44">0.000062*100</f>
        <v>6.2000000000000006E-3</v>
      </c>
      <c r="R38" s="199"/>
      <c r="S38" s="199">
        <f>100*0.0001/2/$F$38</f>
        <v>1.7320516151381313E-4</v>
      </c>
      <c r="T38" s="210">
        <f t="shared" si="33"/>
        <v>6.2032249707148334E-3</v>
      </c>
      <c r="U38" s="156">
        <f t="shared" si="34"/>
        <v>1.7907159684211044E-3</v>
      </c>
      <c r="V38" s="541">
        <f t="shared" si="35"/>
        <v>6.2032249707148334E-3</v>
      </c>
      <c r="W38" s="312">
        <f t="shared" si="36"/>
        <v>0.28867500000000001</v>
      </c>
      <c r="X38" s="458">
        <v>1.5</v>
      </c>
      <c r="Y38" s="319" t="b">
        <f t="shared" si="37"/>
        <v>0</v>
      </c>
      <c r="Z38" s="467" t="b">
        <f t="shared" si="38"/>
        <v>0</v>
      </c>
      <c r="AA38" s="463" t="b">
        <f t="shared" si="39"/>
        <v>0</v>
      </c>
      <c r="AB38" s="316" t="b">
        <f t="shared" si="40"/>
        <v>0</v>
      </c>
    </row>
    <row r="39" spans="2:28" ht="12.9" customHeight="1">
      <c r="B39" s="85">
        <f>FORMAT_P!$B$82</f>
        <v>57.734999999999999</v>
      </c>
      <c r="C39" s="6">
        <f>FORMAT_P!$C$82</f>
        <v>0.25</v>
      </c>
      <c r="D39" s="6">
        <f>FORMAT_P!$D$82</f>
        <v>1</v>
      </c>
      <c r="E39" s="6">
        <f>FORMAT_P!$E$82</f>
        <v>14.43375</v>
      </c>
      <c r="F39" s="143">
        <f>FORMAT_P!$F$82</f>
        <v>14.43375</v>
      </c>
      <c r="G39" s="85">
        <f>FORMAT_P!$O$82</f>
        <v>-14.43375</v>
      </c>
      <c r="H39" s="96">
        <f>FORMAT_P!$R$82</f>
        <v>-14.43375</v>
      </c>
      <c r="I39" s="85">
        <f>FORMAT_P!$O$83</f>
        <v>0</v>
      </c>
      <c r="J39" s="199">
        <f t="shared" si="30"/>
        <v>0</v>
      </c>
      <c r="K39" s="199">
        <f t="shared" si="43"/>
        <v>6.2000000000000006E-3</v>
      </c>
      <c r="L39" s="199"/>
      <c r="M39" s="199">
        <f>100*0.00001/2/$F$39</f>
        <v>3.4641032302762627E-5</v>
      </c>
      <c r="N39" s="210">
        <f t="shared" si="31"/>
        <v>6.2001290310357265E-3</v>
      </c>
      <c r="O39" s="85">
        <f>FORMAT_P!$R$83</f>
        <v>0</v>
      </c>
      <c r="P39" s="199">
        <f t="shared" si="32"/>
        <v>0</v>
      </c>
      <c r="Q39" s="199">
        <f t="shared" si="44"/>
        <v>6.2000000000000006E-3</v>
      </c>
      <c r="R39" s="199"/>
      <c r="S39" s="199">
        <f>100*0.00001/2/$F$39</f>
        <v>3.4641032302762627E-5</v>
      </c>
      <c r="T39" s="210">
        <f t="shared" si="33"/>
        <v>6.2001290310357265E-3</v>
      </c>
      <c r="U39" s="268">
        <f t="shared" si="34"/>
        <v>8.9491112401711914E-4</v>
      </c>
      <c r="V39" s="545">
        <f t="shared" si="35"/>
        <v>6.2001290310357265E-3</v>
      </c>
      <c r="W39" s="312">
        <f t="shared" si="36"/>
        <v>0.28867500000000001</v>
      </c>
      <c r="X39" s="458">
        <v>1.5</v>
      </c>
      <c r="Y39" s="319" t="b">
        <f t="shared" si="37"/>
        <v>0</v>
      </c>
      <c r="Z39" s="467" t="b">
        <f t="shared" si="38"/>
        <v>0</v>
      </c>
      <c r="AA39" s="463" t="b">
        <f t="shared" si="39"/>
        <v>0</v>
      </c>
      <c r="AB39" s="316" t="b">
        <f t="shared" si="40"/>
        <v>0</v>
      </c>
    </row>
    <row r="40" spans="2:28" ht="12.9" customHeight="1">
      <c r="B40" s="85">
        <f>FORMAT_P!$B$95</f>
        <v>57.734999999999999</v>
      </c>
      <c r="C40" s="6">
        <f>FORMAT_P!$C$95</f>
        <v>9.9999999999999992E-2</v>
      </c>
      <c r="D40" s="6">
        <f>FORMAT_P!$D$95</f>
        <v>1</v>
      </c>
      <c r="E40" s="6">
        <f>FORMAT_P!$E$95</f>
        <v>5.7734999999999994</v>
      </c>
      <c r="F40" s="143">
        <f>FORMAT_P!$F$95</f>
        <v>5.7734999999999994</v>
      </c>
      <c r="G40" s="85">
        <f>FORMAT_P!$O$95</f>
        <v>-5.7734999999999994</v>
      </c>
      <c r="H40" s="96">
        <f>FORMAT_P!$R$95</f>
        <v>-5.7734999999999994</v>
      </c>
      <c r="I40" s="85">
        <f>FORMAT_P!$O$96</f>
        <v>1.6215852745944756E-14</v>
      </c>
      <c r="J40" s="199">
        <f t="shared" si="30"/>
        <v>5.1279028879081166E-15</v>
      </c>
      <c r="K40" s="199">
        <f t="shared" si="43"/>
        <v>6.2000000000000006E-3</v>
      </c>
      <c r="L40" s="199"/>
      <c r="M40" s="199">
        <f>100*0.00001/2/$F$40</f>
        <v>8.6602580756906563E-5</v>
      </c>
      <c r="N40" s="210">
        <f t="shared" si="31"/>
        <v>6.2008063999229182E-3</v>
      </c>
      <c r="O40" s="85">
        <f>FORMAT_P!$R$96</f>
        <v>1.6215852745944756E-14</v>
      </c>
      <c r="P40" s="199">
        <f t="shared" si="32"/>
        <v>5.1279028879081166E-15</v>
      </c>
      <c r="Q40" s="199">
        <f t="shared" si="44"/>
        <v>6.2000000000000006E-3</v>
      </c>
      <c r="R40" s="199"/>
      <c r="S40" s="199">
        <f>100*0.00001/2/$F$40</f>
        <v>8.6602580756906563E-5</v>
      </c>
      <c r="T40" s="210">
        <f t="shared" si="33"/>
        <v>6.2008063999229182E-3</v>
      </c>
      <c r="U40" s="268">
        <f t="shared" si="34"/>
        <v>3.5800355749954964E-4</v>
      </c>
      <c r="V40" s="541">
        <f t="shared" si="35"/>
        <v>6.2008063999229182E-3</v>
      </c>
      <c r="W40" s="312">
        <f t="shared" si="36"/>
        <v>0.28867500000000001</v>
      </c>
      <c r="X40" s="458">
        <v>1.5</v>
      </c>
      <c r="Y40" s="319" t="b">
        <f t="shared" si="37"/>
        <v>0</v>
      </c>
      <c r="Z40" s="467" t="b">
        <f t="shared" si="38"/>
        <v>0</v>
      </c>
      <c r="AA40" s="463" t="b">
        <f t="shared" si="39"/>
        <v>0</v>
      </c>
      <c r="AB40" s="316" t="b">
        <f t="shared" si="40"/>
        <v>0</v>
      </c>
    </row>
    <row r="41" spans="2:28" ht="12.9" customHeight="1" thickBot="1">
      <c r="B41" s="86">
        <f>FORMAT_P!$B$108</f>
        <v>72.168800000000019</v>
      </c>
      <c r="C41" s="17">
        <f>FORMAT_P!$C$108</f>
        <v>4.9999999999999996E-2</v>
      </c>
      <c r="D41" s="17">
        <f>FORMAT_P!$D$108</f>
        <v>1</v>
      </c>
      <c r="E41" s="17">
        <f>FORMAT_P!$E$108</f>
        <v>3.6084400000000008</v>
      </c>
      <c r="F41" s="144">
        <f>FORMAT_P!$F$108</f>
        <v>3.6084400000000008</v>
      </c>
      <c r="G41" s="86">
        <f>FORMAT_P!$O$108</f>
        <v>-3.6084400000000008</v>
      </c>
      <c r="H41" s="97">
        <f>FORMAT_P!$R$108</f>
        <v>-3.6084400000000008</v>
      </c>
      <c r="I41" s="86">
        <f>FORMAT_P!$O$109</f>
        <v>1.2972673209019965E-14</v>
      </c>
      <c r="J41" s="211">
        <f t="shared" si="30"/>
        <v>4.1023194681548678E-15</v>
      </c>
      <c r="K41" s="211">
        <f t="shared" si="43"/>
        <v>6.2000000000000006E-3</v>
      </c>
      <c r="L41" s="211"/>
      <c r="M41" s="211">
        <f>100*0.00001/2/$F$41</f>
        <v>1.3856403321102744E-4</v>
      </c>
      <c r="N41" s="213">
        <f t="shared" si="31"/>
        <v>6.2020641715802667E-3</v>
      </c>
      <c r="O41" s="86">
        <f>FORMAT_P!$R$109</f>
        <v>1.2972673209019965E-14</v>
      </c>
      <c r="P41" s="211">
        <f t="shared" si="32"/>
        <v>4.1023194681548678E-15</v>
      </c>
      <c r="Q41" s="211">
        <f t="shared" si="44"/>
        <v>6.2000000000000006E-3</v>
      </c>
      <c r="R41" s="211"/>
      <c r="S41" s="211">
        <f>100*0.00001/2/$F$41</f>
        <v>1.3856403321102744E-4</v>
      </c>
      <c r="T41" s="213">
        <f t="shared" si="33"/>
        <v>6.2020641715802667E-3</v>
      </c>
      <c r="U41" s="269">
        <f t="shared" si="34"/>
        <v>2.2379776439297101E-4</v>
      </c>
      <c r="V41" s="531">
        <f t="shared" si="35"/>
        <v>6.2020641715802667E-3</v>
      </c>
      <c r="W41" s="313">
        <f t="shared" si="36"/>
        <v>0.28867500000000001</v>
      </c>
      <c r="X41" s="462">
        <v>1.5</v>
      </c>
      <c r="Y41" s="320" t="b">
        <f t="shared" si="37"/>
        <v>0</v>
      </c>
      <c r="Z41" s="468" t="b">
        <f t="shared" si="38"/>
        <v>0</v>
      </c>
      <c r="AA41" s="464" t="b">
        <f t="shared" si="39"/>
        <v>0</v>
      </c>
      <c r="AB41" s="317" t="b">
        <f t="shared" si="40"/>
        <v>0</v>
      </c>
    </row>
  </sheetData>
  <mergeCells count="28">
    <mergeCell ref="W31:X31"/>
    <mergeCell ref="Y31:Z31"/>
    <mergeCell ref="AA31:AB31"/>
    <mergeCell ref="W3:X3"/>
    <mergeCell ref="Y3:Z3"/>
    <mergeCell ref="AA3:AB3"/>
    <mergeCell ref="W17:X17"/>
    <mergeCell ref="Y17:Z17"/>
    <mergeCell ref="AA17:AB17"/>
    <mergeCell ref="B30:H30"/>
    <mergeCell ref="I30:T30"/>
    <mergeCell ref="G31:H31"/>
    <mergeCell ref="I31:N31"/>
    <mergeCell ref="O31:T31"/>
    <mergeCell ref="B31:F31"/>
    <mergeCell ref="B16:H16"/>
    <mergeCell ref="I16:T16"/>
    <mergeCell ref="G17:H17"/>
    <mergeCell ref="I17:N17"/>
    <mergeCell ref="O17:T17"/>
    <mergeCell ref="B17:F17"/>
    <mergeCell ref="B1:T1"/>
    <mergeCell ref="B2:H2"/>
    <mergeCell ref="I2:T2"/>
    <mergeCell ref="G3:H3"/>
    <mergeCell ref="I3:N3"/>
    <mergeCell ref="O3:T3"/>
    <mergeCell ref="B3:F3"/>
  </mergeCells>
  <pageMargins left="0.7" right="0.7" top="0.75" bottom="0.75" header="0.3" footer="0.3"/>
  <pageSetup paperSize="0" orientation="portrait" horizontalDpi="0" verticalDpi="0" copies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ayfa10">
    <tabColor rgb="FF00B050"/>
  </sheetPr>
  <dimension ref="A1:AB41"/>
  <sheetViews>
    <sheetView topLeftCell="G1" zoomScale="80" zoomScaleNormal="80" workbookViewId="0">
      <selection activeCell="V5" sqref="V5"/>
    </sheetView>
  </sheetViews>
  <sheetFormatPr defaultColWidth="9.109375" defaultRowHeight="14.4"/>
  <cols>
    <col min="1" max="1" width="6.44140625" style="335" customWidth="1"/>
    <col min="2" max="2" width="13.6640625" style="43" customWidth="1"/>
    <col min="3" max="3" width="14.109375" style="43" bestFit="1" customWidth="1"/>
    <col min="4" max="4" width="12.33203125" style="43" customWidth="1"/>
    <col min="5" max="6" width="15.6640625" style="43" customWidth="1"/>
    <col min="7" max="7" width="16.88671875" style="43" customWidth="1"/>
    <col min="8" max="8" width="16.33203125" style="43" customWidth="1"/>
    <col min="9" max="9" width="14.88671875" style="335" customWidth="1"/>
    <col min="10" max="11" width="9.109375" style="335" customWidth="1"/>
    <col min="12" max="12" width="9.109375" style="335" hidden="1" customWidth="1"/>
    <col min="13" max="13" width="9.109375" style="335" customWidth="1"/>
    <col min="14" max="14" width="9.109375" style="335"/>
    <col min="15" max="15" width="14.88671875" style="335" customWidth="1"/>
    <col min="16" max="17" width="9.109375" style="335" customWidth="1"/>
    <col min="18" max="18" width="9.109375" style="335" hidden="1" customWidth="1"/>
    <col min="19" max="19" width="9.109375" style="335" customWidth="1"/>
    <col min="20" max="20" width="9.109375" style="335"/>
    <col min="21" max="21" width="9.109375" style="206"/>
    <col min="22" max="22" width="9.109375" style="335"/>
    <col min="23" max="23" width="12" style="206" customWidth="1"/>
    <col min="24" max="24" width="11" style="206" customWidth="1"/>
    <col min="25" max="25" width="10" style="206" customWidth="1"/>
    <col min="26" max="26" width="9.6640625" style="206" customWidth="1"/>
    <col min="27" max="28" width="9.109375" style="206"/>
    <col min="29" max="16384" width="9.109375" style="335"/>
  </cols>
  <sheetData>
    <row r="1" spans="1:28" ht="22.95" customHeight="1" thickBot="1">
      <c r="A1" s="334"/>
      <c r="B1" s="609" t="s">
        <v>60</v>
      </c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  <c r="Q1" s="609"/>
      <c r="R1" s="609"/>
      <c r="S1" s="609"/>
      <c r="T1" s="609"/>
    </row>
    <row r="2" spans="1:28" s="336" customFormat="1" ht="17.25" customHeight="1" thickBot="1">
      <c r="B2" s="629" t="s">
        <v>44</v>
      </c>
      <c r="C2" s="630"/>
      <c r="D2" s="630"/>
      <c r="E2" s="630"/>
      <c r="F2" s="630"/>
      <c r="G2" s="630"/>
      <c r="H2" s="631"/>
      <c r="I2" s="619" t="s">
        <v>45</v>
      </c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1"/>
      <c r="U2" s="77"/>
      <c r="W2" s="77"/>
      <c r="X2" s="77"/>
      <c r="Y2" s="77"/>
      <c r="Z2" s="77"/>
      <c r="AA2" s="77"/>
      <c r="AB2" s="77"/>
    </row>
    <row r="3" spans="1:28" ht="17.25" customHeight="1" thickBot="1">
      <c r="B3" s="622" t="s">
        <v>46</v>
      </c>
      <c r="C3" s="623"/>
      <c r="D3" s="623"/>
      <c r="E3" s="623"/>
      <c r="F3" s="623"/>
      <c r="G3" s="622" t="s">
        <v>77</v>
      </c>
      <c r="H3" s="632"/>
      <c r="I3" s="635" t="s">
        <v>47</v>
      </c>
      <c r="J3" s="636"/>
      <c r="K3" s="636"/>
      <c r="L3" s="636"/>
      <c r="M3" s="636"/>
      <c r="N3" s="637"/>
      <c r="O3" s="635" t="s">
        <v>48</v>
      </c>
      <c r="P3" s="636"/>
      <c r="Q3" s="636"/>
      <c r="R3" s="636"/>
      <c r="S3" s="636"/>
      <c r="T3" s="637"/>
      <c r="W3" s="614" t="s">
        <v>114</v>
      </c>
      <c r="X3" s="615"/>
      <c r="Y3" s="612" t="s">
        <v>107</v>
      </c>
      <c r="Z3" s="613"/>
      <c r="AA3" s="614" t="s">
        <v>108</v>
      </c>
      <c r="AB3" s="615"/>
    </row>
    <row r="4" spans="1:28" ht="18.75" customHeight="1" thickBot="1">
      <c r="B4" s="405" t="s">
        <v>14</v>
      </c>
      <c r="C4" s="301" t="s">
        <v>143</v>
      </c>
      <c r="D4" s="302" t="s">
        <v>0</v>
      </c>
      <c r="E4" s="406" t="s">
        <v>149</v>
      </c>
      <c r="F4" s="40" t="s">
        <v>148</v>
      </c>
      <c r="G4" s="253" t="s">
        <v>80</v>
      </c>
      <c r="H4" s="255" t="s">
        <v>81</v>
      </c>
      <c r="I4" s="548" t="s">
        <v>49</v>
      </c>
      <c r="J4" s="549" t="s">
        <v>61</v>
      </c>
      <c r="K4" s="549" t="s">
        <v>62</v>
      </c>
      <c r="L4" s="549" t="s">
        <v>63</v>
      </c>
      <c r="M4" s="549" t="s">
        <v>64</v>
      </c>
      <c r="N4" s="550" t="s">
        <v>65</v>
      </c>
      <c r="O4" s="548" t="s">
        <v>49</v>
      </c>
      <c r="P4" s="549" t="s">
        <v>61</v>
      </c>
      <c r="Q4" s="549" t="s">
        <v>62</v>
      </c>
      <c r="R4" s="549" t="s">
        <v>63</v>
      </c>
      <c r="S4" s="549" t="s">
        <v>64</v>
      </c>
      <c r="T4" s="550" t="s">
        <v>65</v>
      </c>
      <c r="U4" s="533" t="s">
        <v>88</v>
      </c>
      <c r="V4" s="540" t="s">
        <v>54</v>
      </c>
      <c r="W4" s="314" t="s">
        <v>104</v>
      </c>
      <c r="X4" s="315" t="s">
        <v>105</v>
      </c>
      <c r="Y4" s="318" t="s">
        <v>47</v>
      </c>
      <c r="Z4" s="455" t="s">
        <v>48</v>
      </c>
      <c r="AA4" s="314" t="s">
        <v>47</v>
      </c>
      <c r="AB4" s="315" t="s">
        <v>48</v>
      </c>
    </row>
    <row r="5" spans="1:28" ht="12.9" customHeight="1">
      <c r="B5" s="85">
        <f>FORMAT_Q!$B$4</f>
        <v>57.734999999999999</v>
      </c>
      <c r="C5" s="6">
        <f>FORMAT_Q!$C$4</f>
        <v>5</v>
      </c>
      <c r="D5" s="6">
        <f>FORMAT_Q!$D$4</f>
        <v>1</v>
      </c>
      <c r="E5" s="6">
        <f>FORMAT_Q!$E$4</f>
        <v>288.67500000000007</v>
      </c>
      <c r="F5" s="143">
        <f>FORMAT_Q!$F$4</f>
        <v>288.67500000000007</v>
      </c>
      <c r="G5" s="85">
        <f>FORMAT_Q!$M$4</f>
        <v>-288.67500000000007</v>
      </c>
      <c r="H5" s="96">
        <f>FORMAT_Q!$P$4</f>
        <v>-288.67500000000007</v>
      </c>
      <c r="I5" s="221">
        <f>FORMAT_Q!$M$5</f>
        <v>2.0756291514809279E-14</v>
      </c>
      <c r="J5" s="222">
        <f>I5/10^0.5</f>
        <v>6.5637156965223872E-15</v>
      </c>
      <c r="K5" s="222">
        <f>0.000065*100</f>
        <v>6.4999999999999997E-3</v>
      </c>
      <c r="L5" s="222"/>
      <c r="M5" s="222">
        <f>100*0.001/2/$F$5</f>
        <v>1.7320516151381307E-4</v>
      </c>
      <c r="N5" s="546">
        <f>2*(J5^2+K5^2/4+L5^2/3+M5^2/3)^0.5</f>
        <v>6.5030761980235195E-3</v>
      </c>
      <c r="O5" s="221">
        <f>FORMAT_Q!$P$5</f>
        <v>2.0756291514809279E-14</v>
      </c>
      <c r="P5" s="222">
        <f>O5/10^0.5</f>
        <v>6.5637156965223872E-15</v>
      </c>
      <c r="Q5" s="222">
        <f>0.000065*100</f>
        <v>6.4999999999999997E-3</v>
      </c>
      <c r="R5" s="222"/>
      <c r="S5" s="222">
        <f>100*0.001/2/$F$5</f>
        <v>1.7320516151381307E-4</v>
      </c>
      <c r="T5" s="546">
        <f>2*(P5^2+Q5^2/4+R5^2/3+S5^2/3)^0.5</f>
        <v>6.5030761980235195E-3</v>
      </c>
      <c r="U5" s="547">
        <f>T5*0.01*E5</f>
        <v>1.8772755214644398E-2</v>
      </c>
      <c r="V5" s="535">
        <f>IF(T5&gt;N5,T5,N5)</f>
        <v>6.5030761980235195E-3</v>
      </c>
      <c r="W5" s="312">
        <f>0.001*$B$5*$C$5</f>
        <v>0.28867500000000001</v>
      </c>
      <c r="X5" s="458">
        <f>0.01*E5</f>
        <v>2.8867500000000006</v>
      </c>
      <c r="Y5" s="319" t="b">
        <f>IF(ABS(G5)&lt;W5,TRUE,FALSE)</f>
        <v>0</v>
      </c>
      <c r="Z5" s="467" t="b">
        <f>IF(ABS(H5)&lt;W5,TRUE,FALSE)</f>
        <v>0</v>
      </c>
      <c r="AA5" s="463" t="b">
        <f>IF(ABS(G5)&lt;X5,TRUE,FALSE)</f>
        <v>0</v>
      </c>
      <c r="AB5" s="316" t="b">
        <f>IF(ABS(H5)&lt;X5,TRUE,FALSE)</f>
        <v>0</v>
      </c>
    </row>
    <row r="6" spans="1:28" ht="12.9" customHeight="1">
      <c r="B6" s="85">
        <f>FORMAT_Q!$B$17</f>
        <v>57.734999999999999</v>
      </c>
      <c r="C6" s="6">
        <f>FORMAT_Q!$C$17</f>
        <v>5</v>
      </c>
      <c r="D6" s="6">
        <f>FORMAT_Q!$D$17</f>
        <v>0.5</v>
      </c>
      <c r="E6" s="6">
        <f>FORMAT_Q!$E$17</f>
        <v>144.33750000000003</v>
      </c>
      <c r="F6" s="143">
        <f>FORMAT_Q!$F$17</f>
        <v>288.67500000000007</v>
      </c>
      <c r="G6" s="85">
        <f>FORMAT_Q!$M$17</f>
        <v>-144.33750000000003</v>
      </c>
      <c r="H6" s="96">
        <f>FORMAT_Q!$P$17</f>
        <v>-144.33750000000003</v>
      </c>
      <c r="I6" s="200">
        <f>FORMAT_Q!$M$18</f>
        <v>1.037814575740464E-14</v>
      </c>
      <c r="J6" s="199">
        <f t="shared" ref="J6:J13" si="0">I6/10^0.5</f>
        <v>3.2818578482611936E-15</v>
      </c>
      <c r="K6" s="199">
        <f>0.000093*100</f>
        <v>9.2999999999999992E-3</v>
      </c>
      <c r="L6" s="199"/>
      <c r="M6" s="199">
        <f>100*0.001/2/$F$6</f>
        <v>1.7320516151381307E-4</v>
      </c>
      <c r="N6" s="210">
        <f t="shared" ref="N6:N13" si="1">2*(J6^2+K6^2/4+L6^2/3+M6^2/3)^0.5</f>
        <v>9.3021502910509892E-3</v>
      </c>
      <c r="O6" s="200">
        <f>FORMAT_Q!$P$18</f>
        <v>1.037814575740464E-14</v>
      </c>
      <c r="P6" s="199">
        <f t="shared" ref="P6:P13" si="2">O6/10^0.5</f>
        <v>3.2818578482611936E-15</v>
      </c>
      <c r="Q6" s="199">
        <f>0.000093*100</f>
        <v>9.2999999999999992E-3</v>
      </c>
      <c r="R6" s="199"/>
      <c r="S6" s="199">
        <f>100*0.001/2/$F$6</f>
        <v>1.7320516151381307E-4</v>
      </c>
      <c r="T6" s="210">
        <f t="shared" ref="T6:T13" si="3">2*(P6^2+Q6^2/4+R6^2/3+S6^2/3)^0.5</f>
        <v>9.3021502910509892E-3</v>
      </c>
      <c r="U6" s="266">
        <f t="shared" ref="U6:U13" si="4">T6*0.01*E6</f>
        <v>1.3426491176345725E-2</v>
      </c>
      <c r="V6" s="541">
        <f t="shared" ref="V6:V13" si="5">IF(T6&gt;N6,T6,N6)</f>
        <v>9.3021502910509892E-3</v>
      </c>
      <c r="W6" s="312">
        <f t="shared" ref="W6:W13" si="6">0.001*$B$5*$C$5</f>
        <v>0.28867500000000001</v>
      </c>
      <c r="X6" s="458">
        <v>1.5</v>
      </c>
      <c r="Y6" s="319" t="b">
        <f t="shared" ref="Y6:Y13" si="7">IF(ABS(G6)&lt;W6,TRUE,FALSE)</f>
        <v>0</v>
      </c>
      <c r="Z6" s="467" t="b">
        <f t="shared" ref="Z6:Z13" si="8">IF(ABS(H6)&lt;W6,TRUE,FALSE)</f>
        <v>0</v>
      </c>
      <c r="AA6" s="463" t="b">
        <f t="shared" ref="AA6:AA13" si="9">IF(ABS(G6)&lt;X6,TRUE,FALSE)</f>
        <v>0</v>
      </c>
      <c r="AB6" s="316" t="b">
        <f t="shared" ref="AB6:AB13" si="10">IF(ABS(H6)&lt;X6,TRUE,FALSE)</f>
        <v>0</v>
      </c>
    </row>
    <row r="7" spans="1:28" ht="12.9" customHeight="1">
      <c r="B7" s="85">
        <f>FORMAT_Q!$B$30</f>
        <v>57.734999999999999</v>
      </c>
      <c r="C7" s="132">
        <f>FORMAT_Q!$C$30</f>
        <v>5</v>
      </c>
      <c r="D7" s="6">
        <f>FORMAT_Q!$D$30</f>
        <v>0.5</v>
      </c>
      <c r="E7" s="6">
        <f>FORMAT_Q!$E$30</f>
        <v>144.33750000000003</v>
      </c>
      <c r="F7" s="143">
        <f>FORMAT_Q!$F$30</f>
        <v>288.67500000000007</v>
      </c>
      <c r="G7" s="85">
        <f>FORMAT_Q!$M$30</f>
        <v>-144.33750000000003</v>
      </c>
      <c r="H7" s="96">
        <f>FORMAT_Q!$P$30</f>
        <v>-144.33750000000003</v>
      </c>
      <c r="I7" s="200">
        <f>FORMAT_Q!$M$31</f>
        <v>1.037814575740464E-14</v>
      </c>
      <c r="J7" s="199">
        <f t="shared" si="0"/>
        <v>3.2818578482611936E-15</v>
      </c>
      <c r="K7" s="199">
        <f>0.000093*100</f>
        <v>9.2999999999999992E-3</v>
      </c>
      <c r="L7" s="199"/>
      <c r="M7" s="199">
        <f>100*0.001/2/$F$7</f>
        <v>1.7320516151381307E-4</v>
      </c>
      <c r="N7" s="210">
        <f t="shared" si="1"/>
        <v>9.3021502910509892E-3</v>
      </c>
      <c r="O7" s="200">
        <f>FORMAT_Q!$P$31</f>
        <v>1.037814575740464E-14</v>
      </c>
      <c r="P7" s="199">
        <f t="shared" si="2"/>
        <v>3.2818578482611936E-15</v>
      </c>
      <c r="Q7" s="199">
        <f>0.000093*100</f>
        <v>9.2999999999999992E-3</v>
      </c>
      <c r="R7" s="199"/>
      <c r="S7" s="199">
        <f>100*0.001/2/$F$7</f>
        <v>1.7320516151381307E-4</v>
      </c>
      <c r="T7" s="210">
        <f t="shared" si="3"/>
        <v>9.3021502910509892E-3</v>
      </c>
      <c r="U7" s="266">
        <f t="shared" si="4"/>
        <v>1.3426491176345725E-2</v>
      </c>
      <c r="V7" s="541">
        <f t="shared" si="5"/>
        <v>9.3021502910509892E-3</v>
      </c>
      <c r="W7" s="312">
        <f t="shared" si="6"/>
        <v>0.28867500000000001</v>
      </c>
      <c r="X7" s="458">
        <v>1.5</v>
      </c>
      <c r="Y7" s="319" t="b">
        <f t="shared" si="7"/>
        <v>0</v>
      </c>
      <c r="Z7" s="467" t="b">
        <f t="shared" si="8"/>
        <v>0</v>
      </c>
      <c r="AA7" s="463" t="b">
        <f t="shared" si="9"/>
        <v>0</v>
      </c>
      <c r="AB7" s="316" t="b">
        <f t="shared" si="10"/>
        <v>0</v>
      </c>
    </row>
    <row r="8" spans="1:28" ht="12.9" customHeight="1">
      <c r="B8" s="85">
        <f>FORMAT_Q!$B$43</f>
        <v>57.734999999999999</v>
      </c>
      <c r="C8" s="6">
        <f>FORMAT_Q!$C$43</f>
        <v>2.5</v>
      </c>
      <c r="D8" s="6">
        <f>FORMAT_Q!$D$43</f>
        <v>1</v>
      </c>
      <c r="E8" s="6">
        <f>FORMAT_Q!$E$43</f>
        <v>144.33750000000003</v>
      </c>
      <c r="F8" s="143">
        <f>FORMAT_Q!$F$43</f>
        <v>144.33750000000003</v>
      </c>
      <c r="G8" s="90">
        <f>FORMAT_Q!$M$43</f>
        <v>-144.33750000000003</v>
      </c>
      <c r="H8" s="249">
        <f>FORMAT_Q!$P$43</f>
        <v>-144.33750000000003</v>
      </c>
      <c r="I8" s="200">
        <f>FORMAT_Q!$M$44</f>
        <v>2.0756291514809279E-14</v>
      </c>
      <c r="J8" s="199">
        <f t="shared" si="0"/>
        <v>6.5637156965223872E-15</v>
      </c>
      <c r="K8" s="199">
        <f t="shared" ref="K8" si="11">0.000065*100</f>
        <v>6.4999999999999997E-3</v>
      </c>
      <c r="L8" s="199"/>
      <c r="M8" s="199">
        <f>100*0.0001/2/$F$8</f>
        <v>3.4641032302762613E-5</v>
      </c>
      <c r="N8" s="210">
        <f t="shared" si="1"/>
        <v>6.5001230758726406E-3</v>
      </c>
      <c r="O8" s="200">
        <f>FORMAT_Q!$P$44</f>
        <v>2.0756291514809279E-14</v>
      </c>
      <c r="P8" s="199">
        <f t="shared" si="2"/>
        <v>6.5637156965223872E-15</v>
      </c>
      <c r="Q8" s="199">
        <f t="shared" ref="Q8" si="12">0.000065*100</f>
        <v>6.4999999999999997E-3</v>
      </c>
      <c r="R8" s="199"/>
      <c r="S8" s="199">
        <f>100*0.0001/2/$F$8</f>
        <v>3.4641032302762613E-5</v>
      </c>
      <c r="T8" s="210">
        <f t="shared" si="3"/>
        <v>6.5001230758726406E-3</v>
      </c>
      <c r="U8" s="156">
        <f t="shared" si="4"/>
        <v>9.3821151446376767E-3</v>
      </c>
      <c r="V8" s="541">
        <f t="shared" si="5"/>
        <v>6.5001230758726406E-3</v>
      </c>
      <c r="W8" s="312">
        <f t="shared" si="6"/>
        <v>0.28867500000000001</v>
      </c>
      <c r="X8" s="458">
        <v>1.5</v>
      </c>
      <c r="Y8" s="319" t="b">
        <f t="shared" si="7"/>
        <v>0</v>
      </c>
      <c r="Z8" s="467" t="b">
        <f t="shared" si="8"/>
        <v>0</v>
      </c>
      <c r="AA8" s="463" t="b">
        <f t="shared" si="9"/>
        <v>0</v>
      </c>
      <c r="AB8" s="316" t="b">
        <f t="shared" si="10"/>
        <v>0</v>
      </c>
    </row>
    <row r="9" spans="1:28" ht="12.9" customHeight="1">
      <c r="B9" s="85">
        <f>FORMAT_Q!$B$56</f>
        <v>57.734999999999999</v>
      </c>
      <c r="C9" s="6">
        <f>FORMAT_Q!$C$56</f>
        <v>1</v>
      </c>
      <c r="D9" s="6">
        <f>FORMAT_Q!$D$56</f>
        <v>1</v>
      </c>
      <c r="E9" s="6">
        <f>FORMAT_Q!$E$56</f>
        <v>57.734999999999999</v>
      </c>
      <c r="F9" s="143">
        <f>FORMAT_Q!$F$56</f>
        <v>57.734999999999999</v>
      </c>
      <c r="G9" s="90">
        <f>FORMAT_Q!$M$56</f>
        <v>-57.734999999999999</v>
      </c>
      <c r="H9" s="249">
        <f>FORMAT_Q!$P$56</f>
        <v>-57.734999999999999</v>
      </c>
      <c r="I9" s="200">
        <f>FORMAT_Q!$M$57</f>
        <v>0</v>
      </c>
      <c r="J9" s="199">
        <f t="shared" si="0"/>
        <v>0</v>
      </c>
      <c r="K9" s="199">
        <f>0.000062*100</f>
        <v>6.2000000000000006E-3</v>
      </c>
      <c r="L9" s="199"/>
      <c r="M9" s="199">
        <f>100*0.0001/2/$F$9</f>
        <v>8.6602580756906563E-5</v>
      </c>
      <c r="N9" s="210">
        <f t="shared" si="1"/>
        <v>6.2008063999229182E-3</v>
      </c>
      <c r="O9" s="200">
        <f>FORMAT_Q!$P$57</f>
        <v>0</v>
      </c>
      <c r="P9" s="199">
        <f t="shared" si="2"/>
        <v>0</v>
      </c>
      <c r="Q9" s="199">
        <f>0.000062*100</f>
        <v>6.2000000000000006E-3</v>
      </c>
      <c r="R9" s="199"/>
      <c r="S9" s="199">
        <f>100*0.0001/2/$F$9</f>
        <v>8.6602580756906563E-5</v>
      </c>
      <c r="T9" s="210">
        <f t="shared" si="3"/>
        <v>6.2008063999229182E-3</v>
      </c>
      <c r="U9" s="156">
        <f t="shared" si="4"/>
        <v>3.5800355749954966E-3</v>
      </c>
      <c r="V9" s="541">
        <f t="shared" si="5"/>
        <v>6.2008063999229182E-3</v>
      </c>
      <c r="W9" s="312">
        <f t="shared" si="6"/>
        <v>0.28867500000000001</v>
      </c>
      <c r="X9" s="458">
        <v>1.5</v>
      </c>
      <c r="Y9" s="319" t="b">
        <f t="shared" si="7"/>
        <v>0</v>
      </c>
      <c r="Z9" s="467" t="b">
        <f t="shared" si="8"/>
        <v>0</v>
      </c>
      <c r="AA9" s="463" t="b">
        <f t="shared" si="9"/>
        <v>0</v>
      </c>
      <c r="AB9" s="316" t="b">
        <f t="shared" si="10"/>
        <v>0</v>
      </c>
    </row>
    <row r="10" spans="1:28" ht="12.9" customHeight="1">
      <c r="B10" s="85">
        <f>FORMAT_Q!$B$69</f>
        <v>57.734999999999999</v>
      </c>
      <c r="C10" s="6">
        <f>FORMAT_Q!$C$69</f>
        <v>0.5</v>
      </c>
      <c r="D10" s="6">
        <f>FORMAT_Q!$D$69</f>
        <v>1</v>
      </c>
      <c r="E10" s="6">
        <f>FORMAT_Q!$E$69</f>
        <v>28.8675</v>
      </c>
      <c r="F10" s="143">
        <f>FORMAT_Q!$F$69</f>
        <v>28.8675</v>
      </c>
      <c r="G10" s="90">
        <f>FORMAT_Q!$M$69</f>
        <v>-28.8675</v>
      </c>
      <c r="H10" s="249">
        <f>FORMAT_Q!$P$69</f>
        <v>-28.8675</v>
      </c>
      <c r="I10" s="200">
        <f>FORMAT_Q!$M$70</f>
        <v>0</v>
      </c>
      <c r="J10" s="199">
        <f t="shared" si="0"/>
        <v>0</v>
      </c>
      <c r="K10" s="199">
        <f t="shared" ref="K10:K13" si="13">0.000062*100</f>
        <v>6.2000000000000006E-3</v>
      </c>
      <c r="L10" s="199"/>
      <c r="M10" s="199">
        <f>100*0.0001/2/$F$10</f>
        <v>1.7320516151381313E-4</v>
      </c>
      <c r="N10" s="210">
        <f t="shared" si="1"/>
        <v>6.2032249707148334E-3</v>
      </c>
      <c r="O10" s="200">
        <f>FORMAT_Q!$P$70</f>
        <v>0</v>
      </c>
      <c r="P10" s="199">
        <f t="shared" si="2"/>
        <v>0</v>
      </c>
      <c r="Q10" s="199">
        <f t="shared" ref="Q10:Q13" si="14">0.000062*100</f>
        <v>6.2000000000000006E-3</v>
      </c>
      <c r="R10" s="199"/>
      <c r="S10" s="199">
        <f>100*0.0001/2/$F$10</f>
        <v>1.7320516151381313E-4</v>
      </c>
      <c r="T10" s="210">
        <f t="shared" si="3"/>
        <v>6.2032249707148334E-3</v>
      </c>
      <c r="U10" s="156">
        <f t="shared" si="4"/>
        <v>1.7907159684211044E-3</v>
      </c>
      <c r="V10" s="541">
        <f t="shared" si="5"/>
        <v>6.2032249707148334E-3</v>
      </c>
      <c r="W10" s="312">
        <f t="shared" si="6"/>
        <v>0.28867500000000001</v>
      </c>
      <c r="X10" s="458">
        <v>1.5</v>
      </c>
      <c r="Y10" s="319" t="b">
        <f t="shared" si="7"/>
        <v>0</v>
      </c>
      <c r="Z10" s="467" t="b">
        <f t="shared" si="8"/>
        <v>0</v>
      </c>
      <c r="AA10" s="463" t="b">
        <f t="shared" si="9"/>
        <v>0</v>
      </c>
      <c r="AB10" s="316" t="b">
        <f t="shared" si="10"/>
        <v>0</v>
      </c>
    </row>
    <row r="11" spans="1:28" ht="12.9" customHeight="1">
      <c r="B11" s="85">
        <f>FORMAT_Q!$B$82</f>
        <v>57.734999999999999</v>
      </c>
      <c r="C11" s="6">
        <f>FORMAT_Q!$C$82</f>
        <v>0.25</v>
      </c>
      <c r="D11" s="6">
        <f>FORMAT_Q!$D$82</f>
        <v>1</v>
      </c>
      <c r="E11" s="6">
        <f>FORMAT_Q!$E$82</f>
        <v>14.43375</v>
      </c>
      <c r="F11" s="143">
        <f>FORMAT_Q!$F$82</f>
        <v>14.43375</v>
      </c>
      <c r="G11" s="4">
        <f>FORMAT_Q!$M$82</f>
        <v>-14.43375</v>
      </c>
      <c r="H11" s="48">
        <f>FORMAT_Q!$P$82</f>
        <v>-14.43375</v>
      </c>
      <c r="I11" s="200">
        <f>FORMAT_Q!$M$83</f>
        <v>0</v>
      </c>
      <c r="J11" s="199">
        <f t="shared" si="0"/>
        <v>0</v>
      </c>
      <c r="K11" s="199">
        <f t="shared" si="13"/>
        <v>6.2000000000000006E-3</v>
      </c>
      <c r="L11" s="199"/>
      <c r="M11" s="199">
        <f>100*0.00001/2/$F$11</f>
        <v>3.4641032302762627E-5</v>
      </c>
      <c r="N11" s="210">
        <f t="shared" si="1"/>
        <v>6.2001290310357265E-3</v>
      </c>
      <c r="O11" s="200">
        <f>FORMAT_Q!$P$83</f>
        <v>0</v>
      </c>
      <c r="P11" s="199">
        <f t="shared" si="2"/>
        <v>0</v>
      </c>
      <c r="Q11" s="199">
        <f t="shared" si="14"/>
        <v>6.2000000000000006E-3</v>
      </c>
      <c r="R11" s="199"/>
      <c r="S11" s="199">
        <f>100*0.00001/2/$F$11</f>
        <v>3.4641032302762627E-5</v>
      </c>
      <c r="T11" s="210">
        <f t="shared" si="3"/>
        <v>6.2001290310357265E-3</v>
      </c>
      <c r="U11" s="268">
        <f t="shared" si="4"/>
        <v>8.9491112401711914E-4</v>
      </c>
      <c r="V11" s="545">
        <f t="shared" si="5"/>
        <v>6.2001290310357265E-3</v>
      </c>
      <c r="W11" s="312">
        <f t="shared" si="6"/>
        <v>0.28867500000000001</v>
      </c>
      <c r="X11" s="458">
        <v>1.5</v>
      </c>
      <c r="Y11" s="319" t="b">
        <f t="shared" si="7"/>
        <v>0</v>
      </c>
      <c r="Z11" s="467" t="b">
        <f t="shared" si="8"/>
        <v>0</v>
      </c>
      <c r="AA11" s="463" t="b">
        <f t="shared" si="9"/>
        <v>0</v>
      </c>
      <c r="AB11" s="316" t="b">
        <f t="shared" si="10"/>
        <v>0</v>
      </c>
    </row>
    <row r="12" spans="1:28" ht="12.9" customHeight="1">
      <c r="B12" s="85">
        <f>FORMAT_Q!$B$95</f>
        <v>57.734999999999999</v>
      </c>
      <c r="C12" s="6">
        <f>FORMAT_Q!$C$95</f>
        <v>9.9999999999999992E-2</v>
      </c>
      <c r="D12" s="6">
        <f>FORMAT_Q!$D$95</f>
        <v>1</v>
      </c>
      <c r="E12" s="6">
        <f>FORMAT_Q!$E$95</f>
        <v>5.7734999999999994</v>
      </c>
      <c r="F12" s="143">
        <f>FORMAT_Q!$F$95</f>
        <v>5.7734999999999994</v>
      </c>
      <c r="G12" s="4">
        <f>FORMAT_Q!$M$95</f>
        <v>-5.7734999999999994</v>
      </c>
      <c r="H12" s="48">
        <f>FORMAT_Q!$P$95</f>
        <v>-5.7734999999999994</v>
      </c>
      <c r="I12" s="200">
        <f>FORMAT_Q!$M$96</f>
        <v>1.6215852745944756E-14</v>
      </c>
      <c r="J12" s="199">
        <f t="shared" si="0"/>
        <v>5.1279028879081166E-15</v>
      </c>
      <c r="K12" s="199">
        <f t="shared" si="13"/>
        <v>6.2000000000000006E-3</v>
      </c>
      <c r="L12" s="199"/>
      <c r="M12" s="199">
        <f>100*0.00001/2/$F$12</f>
        <v>8.6602580756906563E-5</v>
      </c>
      <c r="N12" s="210">
        <f t="shared" si="1"/>
        <v>6.2008063999229182E-3</v>
      </c>
      <c r="O12" s="200">
        <f>FORMAT_Q!$P$96</f>
        <v>1.6215852745944756E-14</v>
      </c>
      <c r="P12" s="199">
        <f t="shared" si="2"/>
        <v>5.1279028879081166E-15</v>
      </c>
      <c r="Q12" s="199">
        <f t="shared" si="14"/>
        <v>6.2000000000000006E-3</v>
      </c>
      <c r="R12" s="199"/>
      <c r="S12" s="199">
        <f>100*0.00001/2/$F$12</f>
        <v>8.6602580756906563E-5</v>
      </c>
      <c r="T12" s="210">
        <f t="shared" si="3"/>
        <v>6.2008063999229182E-3</v>
      </c>
      <c r="U12" s="268">
        <f t="shared" si="4"/>
        <v>3.5800355749954964E-4</v>
      </c>
      <c r="V12" s="541">
        <f t="shared" si="5"/>
        <v>6.2008063999229182E-3</v>
      </c>
      <c r="W12" s="312">
        <f t="shared" si="6"/>
        <v>0.28867500000000001</v>
      </c>
      <c r="X12" s="458">
        <v>1.5</v>
      </c>
      <c r="Y12" s="319" t="b">
        <f t="shared" si="7"/>
        <v>0</v>
      </c>
      <c r="Z12" s="467" t="b">
        <f t="shared" si="8"/>
        <v>0</v>
      </c>
      <c r="AA12" s="463" t="b">
        <f t="shared" si="9"/>
        <v>0</v>
      </c>
      <c r="AB12" s="316" t="b">
        <f t="shared" si="10"/>
        <v>0</v>
      </c>
    </row>
    <row r="13" spans="1:28" ht="12.9" customHeight="1" thickBot="1">
      <c r="B13" s="86">
        <f>FORMAT_Q!$B$108</f>
        <v>72.168800000000019</v>
      </c>
      <c r="C13" s="17">
        <f>FORMAT_Q!$C$108</f>
        <v>4.9999999999999996E-2</v>
      </c>
      <c r="D13" s="17">
        <f>FORMAT_Q!$D$108</f>
        <v>1</v>
      </c>
      <c r="E13" s="17">
        <f>FORMAT_Q!$E$108</f>
        <v>3.6084400000000008</v>
      </c>
      <c r="F13" s="144">
        <f>FORMAT_Q!$F$108</f>
        <v>3.6084400000000008</v>
      </c>
      <c r="G13" s="15">
        <f>FORMAT_Q!$M$108</f>
        <v>-3.6084400000000008</v>
      </c>
      <c r="H13" s="49">
        <f>FORMAT_Q!$P$108</f>
        <v>-3.6084400000000008</v>
      </c>
      <c r="I13" s="201">
        <f>FORMAT_Q!$M$109</f>
        <v>1.2972673209019965E-14</v>
      </c>
      <c r="J13" s="211">
        <f t="shared" si="0"/>
        <v>4.1023194681548678E-15</v>
      </c>
      <c r="K13" s="211">
        <f t="shared" si="13"/>
        <v>6.2000000000000006E-3</v>
      </c>
      <c r="L13" s="211"/>
      <c r="M13" s="211">
        <f>100*0.00001/2/$F$13</f>
        <v>1.3856403321102744E-4</v>
      </c>
      <c r="N13" s="213">
        <f t="shared" si="1"/>
        <v>6.2020641715802667E-3</v>
      </c>
      <c r="O13" s="201">
        <f>FORMAT_Q!$P$109</f>
        <v>1.2972673209019965E-14</v>
      </c>
      <c r="P13" s="211">
        <f t="shared" si="2"/>
        <v>4.1023194681548678E-15</v>
      </c>
      <c r="Q13" s="211">
        <f t="shared" si="14"/>
        <v>6.2000000000000006E-3</v>
      </c>
      <c r="R13" s="211"/>
      <c r="S13" s="211">
        <f>100*0.00001/2/$F$13</f>
        <v>1.3856403321102744E-4</v>
      </c>
      <c r="T13" s="213">
        <f t="shared" si="3"/>
        <v>6.2020641715802667E-3</v>
      </c>
      <c r="U13" s="269">
        <f t="shared" si="4"/>
        <v>2.2379776439297101E-4</v>
      </c>
      <c r="V13" s="531">
        <f t="shared" si="5"/>
        <v>6.2020641715802667E-3</v>
      </c>
      <c r="W13" s="313">
        <f t="shared" si="6"/>
        <v>0.28867500000000001</v>
      </c>
      <c r="X13" s="462">
        <v>1.5</v>
      </c>
      <c r="Y13" s="320" t="b">
        <f t="shared" si="7"/>
        <v>0</v>
      </c>
      <c r="Z13" s="468" t="b">
        <f t="shared" si="8"/>
        <v>0</v>
      </c>
      <c r="AA13" s="464" t="b">
        <f t="shared" si="9"/>
        <v>0</v>
      </c>
      <c r="AB13" s="317" t="b">
        <f t="shared" si="10"/>
        <v>0</v>
      </c>
    </row>
    <row r="14" spans="1:28">
      <c r="B14" s="335"/>
      <c r="C14" s="335"/>
      <c r="D14" s="335"/>
      <c r="E14" s="335"/>
      <c r="F14" s="335"/>
      <c r="G14" s="335"/>
      <c r="H14" s="335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</row>
    <row r="15" spans="1:28" ht="15" thickBot="1">
      <c r="B15" s="335"/>
      <c r="C15" s="335"/>
      <c r="D15" s="335"/>
      <c r="E15" s="335"/>
      <c r="F15" s="335"/>
      <c r="G15" s="335"/>
      <c r="H15" s="335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</row>
    <row r="16" spans="1:28" s="336" customFormat="1" ht="18" customHeight="1" thickBot="1">
      <c r="B16" s="629" t="s">
        <v>55</v>
      </c>
      <c r="C16" s="630"/>
      <c r="D16" s="630"/>
      <c r="E16" s="630"/>
      <c r="F16" s="630"/>
      <c r="G16" s="630"/>
      <c r="H16" s="631"/>
      <c r="I16" s="619" t="s">
        <v>56</v>
      </c>
      <c r="J16" s="620"/>
      <c r="K16" s="620"/>
      <c r="L16" s="620"/>
      <c r="M16" s="620"/>
      <c r="N16" s="620"/>
      <c r="O16" s="620"/>
      <c r="P16" s="620"/>
      <c r="Q16" s="620"/>
      <c r="R16" s="620"/>
      <c r="S16" s="620"/>
      <c r="T16" s="621"/>
      <c r="U16" s="77"/>
      <c r="W16" s="77"/>
      <c r="X16" s="77"/>
      <c r="Y16" s="77"/>
      <c r="Z16" s="77"/>
      <c r="AA16" s="77"/>
      <c r="AB16" s="77"/>
    </row>
    <row r="17" spans="2:28" ht="18.75" customHeight="1" thickBot="1">
      <c r="B17" s="622" t="s">
        <v>46</v>
      </c>
      <c r="C17" s="623"/>
      <c r="D17" s="623"/>
      <c r="E17" s="623"/>
      <c r="F17" s="623"/>
      <c r="G17" s="622" t="s">
        <v>77</v>
      </c>
      <c r="H17" s="632"/>
      <c r="I17" s="635" t="s">
        <v>47</v>
      </c>
      <c r="J17" s="636"/>
      <c r="K17" s="636"/>
      <c r="L17" s="636"/>
      <c r="M17" s="636"/>
      <c r="N17" s="637"/>
      <c r="O17" s="635" t="s">
        <v>48</v>
      </c>
      <c r="P17" s="636"/>
      <c r="Q17" s="636"/>
      <c r="R17" s="636"/>
      <c r="S17" s="636"/>
      <c r="T17" s="637"/>
      <c r="W17" s="614" t="s">
        <v>114</v>
      </c>
      <c r="X17" s="615"/>
      <c r="Y17" s="612" t="s">
        <v>107</v>
      </c>
      <c r="Z17" s="613"/>
      <c r="AA17" s="614" t="s">
        <v>108</v>
      </c>
      <c r="AB17" s="615"/>
    </row>
    <row r="18" spans="2:28" ht="18.75" customHeight="1" thickBot="1">
      <c r="B18" s="405" t="s">
        <v>14</v>
      </c>
      <c r="C18" s="301" t="s">
        <v>143</v>
      </c>
      <c r="D18" s="302" t="s">
        <v>0</v>
      </c>
      <c r="E18" s="406" t="s">
        <v>149</v>
      </c>
      <c r="F18" s="40" t="s">
        <v>148</v>
      </c>
      <c r="G18" s="253" t="s">
        <v>80</v>
      </c>
      <c r="H18" s="255" t="s">
        <v>81</v>
      </c>
      <c r="I18" s="548" t="s">
        <v>49</v>
      </c>
      <c r="J18" s="549" t="s">
        <v>61</v>
      </c>
      <c r="K18" s="549" t="s">
        <v>62</v>
      </c>
      <c r="L18" s="549" t="s">
        <v>63</v>
      </c>
      <c r="M18" s="549" t="s">
        <v>64</v>
      </c>
      <c r="N18" s="550" t="s">
        <v>65</v>
      </c>
      <c r="O18" s="548" t="s">
        <v>49</v>
      </c>
      <c r="P18" s="549" t="s">
        <v>61</v>
      </c>
      <c r="Q18" s="549" t="s">
        <v>62</v>
      </c>
      <c r="R18" s="549" t="s">
        <v>63</v>
      </c>
      <c r="S18" s="549" t="s">
        <v>64</v>
      </c>
      <c r="T18" s="550" t="s">
        <v>65</v>
      </c>
      <c r="U18" s="533" t="s">
        <v>88</v>
      </c>
      <c r="V18" s="540" t="s">
        <v>54</v>
      </c>
      <c r="W18" s="314" t="s">
        <v>104</v>
      </c>
      <c r="X18" s="315" t="s">
        <v>105</v>
      </c>
      <c r="Y18" s="318" t="s">
        <v>47</v>
      </c>
      <c r="Z18" s="455" t="s">
        <v>48</v>
      </c>
      <c r="AA18" s="314" t="s">
        <v>47</v>
      </c>
      <c r="AB18" s="315" t="s">
        <v>48</v>
      </c>
    </row>
    <row r="19" spans="2:28" ht="12.9" customHeight="1">
      <c r="B19" s="85">
        <f>FORMAT_Q!$B$4</f>
        <v>57.734999999999999</v>
      </c>
      <c r="C19" s="6">
        <f>FORMAT_Q!$C$4</f>
        <v>5</v>
      </c>
      <c r="D19" s="6">
        <f>FORMAT_Q!$D$4</f>
        <v>1</v>
      </c>
      <c r="E19" s="6">
        <f>FORMAT_Q!$E$4</f>
        <v>288.67500000000007</v>
      </c>
      <c r="F19" s="143">
        <f>FORMAT_Q!$F$4</f>
        <v>288.67500000000007</v>
      </c>
      <c r="G19" s="85">
        <f>FORMAT_Q!$N$4</f>
        <v>-288.67500000000007</v>
      </c>
      <c r="H19" s="96">
        <f>FORMAT_Q!$Q$4</f>
        <v>-288.67500000000007</v>
      </c>
      <c r="I19" s="221">
        <f>FORMAT_Q!$N$5</f>
        <v>2.0756291514809279E-14</v>
      </c>
      <c r="J19" s="222">
        <f>I19/10^0.5</f>
        <v>6.5637156965223872E-15</v>
      </c>
      <c r="K19" s="222">
        <f>0.000065*100</f>
        <v>6.4999999999999997E-3</v>
      </c>
      <c r="L19" s="222"/>
      <c r="M19" s="222">
        <f>100*0.001/2/$F$19</f>
        <v>1.7320516151381307E-4</v>
      </c>
      <c r="N19" s="546">
        <f>2*(J19^2+K19^2/4+L19^2/3+M19^2/3)^0.5</f>
        <v>6.5030761980235195E-3</v>
      </c>
      <c r="O19" s="221">
        <f>FORMAT_Q!$Q$5</f>
        <v>2.0756291514809279E-14</v>
      </c>
      <c r="P19" s="222">
        <f>O19/10^0.5</f>
        <v>6.5637156965223872E-15</v>
      </c>
      <c r="Q19" s="222">
        <f>0.000065*100</f>
        <v>6.4999999999999997E-3</v>
      </c>
      <c r="R19" s="222"/>
      <c r="S19" s="222">
        <f>100*0.001/2/$F$19</f>
        <v>1.7320516151381307E-4</v>
      </c>
      <c r="T19" s="546">
        <f>2*(P19^2+Q19^2/4+R19^2/3+S19^2/3)^0.5</f>
        <v>6.5030761980235195E-3</v>
      </c>
      <c r="U19" s="547">
        <f>T19*0.01*E19</f>
        <v>1.8772755214644398E-2</v>
      </c>
      <c r="V19" s="535">
        <f>IF(T19&gt;N19,T19,N19)</f>
        <v>6.5030761980235195E-3</v>
      </c>
      <c r="W19" s="312">
        <f>0.001*$B$5*$C$5</f>
        <v>0.28867500000000001</v>
      </c>
      <c r="X19" s="458">
        <f>0.01*E19</f>
        <v>2.8867500000000006</v>
      </c>
      <c r="Y19" s="319" t="b">
        <f>IF(ABS(G19)&lt;W19,TRUE,FALSE)</f>
        <v>0</v>
      </c>
      <c r="Z19" s="467" t="b">
        <f>IF(ABS(H19)&lt;W19,TRUE,FALSE)</f>
        <v>0</v>
      </c>
      <c r="AA19" s="463" t="b">
        <f>IF(ABS(G19)&lt;X19,TRUE,FALSE)</f>
        <v>0</v>
      </c>
      <c r="AB19" s="316" t="b">
        <f>IF(ABS(H19)&lt;X19,TRUE,FALSE)</f>
        <v>0</v>
      </c>
    </row>
    <row r="20" spans="2:28" ht="12.9" customHeight="1">
      <c r="B20" s="85">
        <f>FORMAT_Q!$B$17</f>
        <v>57.734999999999999</v>
      </c>
      <c r="C20" s="6">
        <f>FORMAT_Q!$C$17</f>
        <v>5</v>
      </c>
      <c r="D20" s="6">
        <f>FORMAT_Q!$D$17</f>
        <v>0.5</v>
      </c>
      <c r="E20" s="6">
        <f>FORMAT_Q!$E$17</f>
        <v>144.33750000000003</v>
      </c>
      <c r="F20" s="143">
        <f>FORMAT_Q!$F$17</f>
        <v>288.67500000000007</v>
      </c>
      <c r="G20" s="85">
        <f>FORMAT_Q!$N$17</f>
        <v>-144.33750000000003</v>
      </c>
      <c r="H20" s="96">
        <f>FORMAT_Q!$Q$17</f>
        <v>-144.33750000000003</v>
      </c>
      <c r="I20" s="200">
        <f>FORMAT_Q!$N$18</f>
        <v>1.037814575740464E-14</v>
      </c>
      <c r="J20" s="199">
        <f t="shared" ref="J20:J27" si="15">I20/10^0.5</f>
        <v>3.2818578482611936E-15</v>
      </c>
      <c r="K20" s="199">
        <f>0.000093*100</f>
        <v>9.2999999999999992E-3</v>
      </c>
      <c r="L20" s="199"/>
      <c r="M20" s="199">
        <f>100*0.001/2/$F$20</f>
        <v>1.7320516151381307E-4</v>
      </c>
      <c r="N20" s="210">
        <f t="shared" ref="N20:N27" si="16">2*(J20^2+K20^2/4+L20^2/3+M20^2/3)^0.5</f>
        <v>9.3021502910509892E-3</v>
      </c>
      <c r="O20" s="200">
        <f>FORMAT_Q!$Q$18</f>
        <v>1.037814575740464E-14</v>
      </c>
      <c r="P20" s="199">
        <f t="shared" ref="P20:P27" si="17">O20/10^0.5</f>
        <v>3.2818578482611936E-15</v>
      </c>
      <c r="Q20" s="199">
        <f>0.000093*100</f>
        <v>9.2999999999999992E-3</v>
      </c>
      <c r="R20" s="199"/>
      <c r="S20" s="199">
        <f>100*0.001/2/$F$20</f>
        <v>1.7320516151381307E-4</v>
      </c>
      <c r="T20" s="210">
        <f t="shared" ref="T20:T27" si="18">2*(P20^2+Q20^2/4+R20^2/3+S20^2/3)^0.5</f>
        <v>9.3021502910509892E-3</v>
      </c>
      <c r="U20" s="266">
        <f t="shared" ref="U20:U27" si="19">T20*0.01*E20</f>
        <v>1.3426491176345725E-2</v>
      </c>
      <c r="V20" s="541">
        <f t="shared" ref="V20:V27" si="20">IF(T20&gt;N20,T20,N20)</f>
        <v>9.3021502910509892E-3</v>
      </c>
      <c r="W20" s="312">
        <f t="shared" ref="W20:W27" si="21">0.001*$B$5*$C$5</f>
        <v>0.28867500000000001</v>
      </c>
      <c r="X20" s="458">
        <v>1.5</v>
      </c>
      <c r="Y20" s="319" t="b">
        <f t="shared" ref="Y20:Y27" si="22">IF(ABS(G20)&lt;W20,TRUE,FALSE)</f>
        <v>0</v>
      </c>
      <c r="Z20" s="467" t="b">
        <f t="shared" ref="Z20:Z27" si="23">IF(ABS(H20)&lt;W20,TRUE,FALSE)</f>
        <v>0</v>
      </c>
      <c r="AA20" s="463" t="b">
        <f t="shared" ref="AA20:AA27" si="24">IF(ABS(G20)&lt;X20,TRUE,FALSE)</f>
        <v>0</v>
      </c>
      <c r="AB20" s="316" t="b">
        <f t="shared" ref="AB20:AB27" si="25">IF(ABS(H20)&lt;X20,TRUE,FALSE)</f>
        <v>0</v>
      </c>
    </row>
    <row r="21" spans="2:28" ht="12.9" customHeight="1">
      <c r="B21" s="85">
        <f>FORMAT_Q!$B$30</f>
        <v>57.734999999999999</v>
      </c>
      <c r="C21" s="6">
        <f>FORMAT_Q!$C$30</f>
        <v>5</v>
      </c>
      <c r="D21" s="6">
        <f>FORMAT_Q!$D$30</f>
        <v>0.5</v>
      </c>
      <c r="E21" s="6">
        <f>FORMAT_Q!$E$30</f>
        <v>144.33750000000003</v>
      </c>
      <c r="F21" s="143">
        <f>FORMAT_Q!$F$30</f>
        <v>288.67500000000007</v>
      </c>
      <c r="G21" s="85">
        <f>FORMAT_Q!$N$30</f>
        <v>-144.33750000000003</v>
      </c>
      <c r="H21" s="96">
        <f>FORMAT_Q!$Q$30</f>
        <v>-144.33750000000003</v>
      </c>
      <c r="I21" s="200">
        <f>FORMAT_Q!$N$31</f>
        <v>1.037814575740464E-14</v>
      </c>
      <c r="J21" s="199">
        <f t="shared" si="15"/>
        <v>3.2818578482611936E-15</v>
      </c>
      <c r="K21" s="199">
        <f>0.000093*100</f>
        <v>9.2999999999999992E-3</v>
      </c>
      <c r="L21" s="199"/>
      <c r="M21" s="199">
        <f>100*0.001/2/$F$21</f>
        <v>1.7320516151381307E-4</v>
      </c>
      <c r="N21" s="210">
        <f t="shared" si="16"/>
        <v>9.3021502910509892E-3</v>
      </c>
      <c r="O21" s="200">
        <f>FORMAT_Q!$Q$31</f>
        <v>1.037814575740464E-14</v>
      </c>
      <c r="P21" s="199">
        <f t="shared" si="17"/>
        <v>3.2818578482611936E-15</v>
      </c>
      <c r="Q21" s="199">
        <f>0.000093*100</f>
        <v>9.2999999999999992E-3</v>
      </c>
      <c r="R21" s="199"/>
      <c r="S21" s="199">
        <f>100*0.001/2/$F$21</f>
        <v>1.7320516151381307E-4</v>
      </c>
      <c r="T21" s="210">
        <f t="shared" si="18"/>
        <v>9.3021502910509892E-3</v>
      </c>
      <c r="U21" s="266">
        <f t="shared" si="19"/>
        <v>1.3426491176345725E-2</v>
      </c>
      <c r="V21" s="541">
        <f t="shared" si="20"/>
        <v>9.3021502910509892E-3</v>
      </c>
      <c r="W21" s="312">
        <f t="shared" si="21"/>
        <v>0.28867500000000001</v>
      </c>
      <c r="X21" s="458">
        <v>1.5</v>
      </c>
      <c r="Y21" s="319" t="b">
        <f t="shared" si="22"/>
        <v>0</v>
      </c>
      <c r="Z21" s="467" t="b">
        <f t="shared" si="23"/>
        <v>0</v>
      </c>
      <c r="AA21" s="463" t="b">
        <f t="shared" si="24"/>
        <v>0</v>
      </c>
      <c r="AB21" s="316" t="b">
        <f t="shared" si="25"/>
        <v>0</v>
      </c>
    </row>
    <row r="22" spans="2:28" ht="12.9" customHeight="1">
      <c r="B22" s="85">
        <f>FORMAT_Q!$B$43</f>
        <v>57.734999999999999</v>
      </c>
      <c r="C22" s="6">
        <f>FORMAT_Q!$C$43</f>
        <v>2.5</v>
      </c>
      <c r="D22" s="6">
        <f>FORMAT_Q!$D$43</f>
        <v>1</v>
      </c>
      <c r="E22" s="6">
        <f>FORMAT_Q!$E$43</f>
        <v>144.33750000000003</v>
      </c>
      <c r="F22" s="143">
        <f>FORMAT_Q!$F$43</f>
        <v>144.33750000000003</v>
      </c>
      <c r="G22" s="90">
        <f>FORMAT_Q!$N$43</f>
        <v>-144.33750000000003</v>
      </c>
      <c r="H22" s="249">
        <f>FORMAT_Q!$Q$43</f>
        <v>-144.33750000000003</v>
      </c>
      <c r="I22" s="200">
        <f>FORMAT_Q!$N$44</f>
        <v>2.0756291514809279E-14</v>
      </c>
      <c r="J22" s="199">
        <f t="shared" si="15"/>
        <v>6.5637156965223872E-15</v>
      </c>
      <c r="K22" s="199">
        <f t="shared" ref="K22" si="26">0.000065*100</f>
        <v>6.4999999999999997E-3</v>
      </c>
      <c r="L22" s="199"/>
      <c r="M22" s="199">
        <f>100*0.0001/2/$F$22</f>
        <v>3.4641032302762613E-5</v>
      </c>
      <c r="N22" s="210">
        <f t="shared" si="16"/>
        <v>6.5001230758726406E-3</v>
      </c>
      <c r="O22" s="200">
        <f>FORMAT_Q!$Q$44</f>
        <v>2.0756291514809279E-14</v>
      </c>
      <c r="P22" s="199">
        <f t="shared" si="17"/>
        <v>6.5637156965223872E-15</v>
      </c>
      <c r="Q22" s="199">
        <f t="shared" ref="Q22" si="27">0.000065*100</f>
        <v>6.4999999999999997E-3</v>
      </c>
      <c r="R22" s="199"/>
      <c r="S22" s="199">
        <f>100*0.0001/2/$F$22</f>
        <v>3.4641032302762613E-5</v>
      </c>
      <c r="T22" s="210">
        <f t="shared" si="18"/>
        <v>6.5001230758726406E-3</v>
      </c>
      <c r="U22" s="156">
        <f t="shared" si="19"/>
        <v>9.3821151446376767E-3</v>
      </c>
      <c r="V22" s="541">
        <f t="shared" si="20"/>
        <v>6.5001230758726406E-3</v>
      </c>
      <c r="W22" s="312">
        <f t="shared" si="21"/>
        <v>0.28867500000000001</v>
      </c>
      <c r="X22" s="458">
        <v>1.5</v>
      </c>
      <c r="Y22" s="319" t="b">
        <f t="shared" si="22"/>
        <v>0</v>
      </c>
      <c r="Z22" s="467" t="b">
        <f t="shared" si="23"/>
        <v>0</v>
      </c>
      <c r="AA22" s="463" t="b">
        <f t="shared" si="24"/>
        <v>0</v>
      </c>
      <c r="AB22" s="316" t="b">
        <f t="shared" si="25"/>
        <v>0</v>
      </c>
    </row>
    <row r="23" spans="2:28" ht="12.9" customHeight="1">
      <c r="B23" s="85">
        <f>FORMAT_Q!$B$56</f>
        <v>57.734999999999999</v>
      </c>
      <c r="C23" s="6">
        <f>FORMAT_Q!$C$56</f>
        <v>1</v>
      </c>
      <c r="D23" s="6">
        <f>FORMAT_Q!$D$56</f>
        <v>1</v>
      </c>
      <c r="E23" s="6">
        <f>FORMAT_Q!$E$56</f>
        <v>57.734999999999999</v>
      </c>
      <c r="F23" s="143">
        <f>FORMAT_Q!$F$56</f>
        <v>57.734999999999999</v>
      </c>
      <c r="G23" s="90">
        <f>FORMAT_Q!$N$56</f>
        <v>-57.734999999999999</v>
      </c>
      <c r="H23" s="249">
        <f>FORMAT_Q!$Q$56</f>
        <v>-57.734999999999999</v>
      </c>
      <c r="I23" s="200">
        <f>FORMAT_Q!$N$57</f>
        <v>0</v>
      </c>
      <c r="J23" s="199">
        <f t="shared" si="15"/>
        <v>0</v>
      </c>
      <c r="K23" s="199">
        <f>0.000062*100</f>
        <v>6.2000000000000006E-3</v>
      </c>
      <c r="L23" s="199"/>
      <c r="M23" s="199">
        <f>100*0.0001/2/$F$23</f>
        <v>8.6602580756906563E-5</v>
      </c>
      <c r="N23" s="210">
        <f t="shared" si="16"/>
        <v>6.2008063999229182E-3</v>
      </c>
      <c r="O23" s="200">
        <f>FORMAT_Q!$Q$57</f>
        <v>0</v>
      </c>
      <c r="P23" s="199">
        <f t="shared" si="17"/>
        <v>0</v>
      </c>
      <c r="Q23" s="199">
        <f>0.000062*100</f>
        <v>6.2000000000000006E-3</v>
      </c>
      <c r="R23" s="199"/>
      <c r="S23" s="199">
        <f>100*0.0001/2/$F$23</f>
        <v>8.6602580756906563E-5</v>
      </c>
      <c r="T23" s="210">
        <f t="shared" si="18"/>
        <v>6.2008063999229182E-3</v>
      </c>
      <c r="U23" s="156">
        <f t="shared" si="19"/>
        <v>3.5800355749954966E-3</v>
      </c>
      <c r="V23" s="541">
        <f t="shared" si="20"/>
        <v>6.2008063999229182E-3</v>
      </c>
      <c r="W23" s="312">
        <f t="shared" si="21"/>
        <v>0.28867500000000001</v>
      </c>
      <c r="X23" s="458">
        <v>1.5</v>
      </c>
      <c r="Y23" s="319" t="b">
        <f t="shared" si="22"/>
        <v>0</v>
      </c>
      <c r="Z23" s="467" t="b">
        <f t="shared" si="23"/>
        <v>0</v>
      </c>
      <c r="AA23" s="463" t="b">
        <f t="shared" si="24"/>
        <v>0</v>
      </c>
      <c r="AB23" s="316" t="b">
        <f t="shared" si="25"/>
        <v>0</v>
      </c>
    </row>
    <row r="24" spans="2:28" ht="12.9" customHeight="1">
      <c r="B24" s="85">
        <f>FORMAT_Q!$B$69</f>
        <v>57.734999999999999</v>
      </c>
      <c r="C24" s="6">
        <f>FORMAT_Q!$C$69</f>
        <v>0.5</v>
      </c>
      <c r="D24" s="6">
        <f>FORMAT_Q!$D$69</f>
        <v>1</v>
      </c>
      <c r="E24" s="6">
        <f>FORMAT_Q!$E$69</f>
        <v>28.8675</v>
      </c>
      <c r="F24" s="143">
        <f>FORMAT_Q!$F$69</f>
        <v>28.8675</v>
      </c>
      <c r="G24" s="90">
        <f>FORMAT_Q!$N$69</f>
        <v>-28.8675</v>
      </c>
      <c r="H24" s="249">
        <f>FORMAT_Q!$Q$69</f>
        <v>-28.8675</v>
      </c>
      <c r="I24" s="200">
        <f>FORMAT_Q!$N$70</f>
        <v>0</v>
      </c>
      <c r="J24" s="199">
        <f t="shared" si="15"/>
        <v>0</v>
      </c>
      <c r="K24" s="199">
        <f t="shared" ref="K24:K27" si="28">0.000062*100</f>
        <v>6.2000000000000006E-3</v>
      </c>
      <c r="L24" s="199"/>
      <c r="M24" s="199">
        <f>100*0.0001/2/$F$24</f>
        <v>1.7320516151381313E-4</v>
      </c>
      <c r="N24" s="210">
        <f t="shared" si="16"/>
        <v>6.2032249707148334E-3</v>
      </c>
      <c r="O24" s="200">
        <f>FORMAT_Q!$Q$70</f>
        <v>0</v>
      </c>
      <c r="P24" s="199">
        <f t="shared" si="17"/>
        <v>0</v>
      </c>
      <c r="Q24" s="199">
        <f t="shared" ref="Q24:Q27" si="29">0.000062*100</f>
        <v>6.2000000000000006E-3</v>
      </c>
      <c r="R24" s="199"/>
      <c r="S24" s="199">
        <f>100*0.0001/2/$F$24</f>
        <v>1.7320516151381313E-4</v>
      </c>
      <c r="T24" s="210">
        <f t="shared" si="18"/>
        <v>6.2032249707148334E-3</v>
      </c>
      <c r="U24" s="156">
        <f t="shared" si="19"/>
        <v>1.7907159684211044E-3</v>
      </c>
      <c r="V24" s="541">
        <f t="shared" si="20"/>
        <v>6.2032249707148334E-3</v>
      </c>
      <c r="W24" s="312">
        <f t="shared" si="21"/>
        <v>0.28867500000000001</v>
      </c>
      <c r="X24" s="458">
        <v>1.5</v>
      </c>
      <c r="Y24" s="319" t="b">
        <f t="shared" si="22"/>
        <v>0</v>
      </c>
      <c r="Z24" s="467" t="b">
        <f t="shared" si="23"/>
        <v>0</v>
      </c>
      <c r="AA24" s="463" t="b">
        <f t="shared" si="24"/>
        <v>0</v>
      </c>
      <c r="AB24" s="316" t="b">
        <f t="shared" si="25"/>
        <v>0</v>
      </c>
    </row>
    <row r="25" spans="2:28" ht="12.9" customHeight="1">
      <c r="B25" s="85">
        <f>FORMAT_Q!$B$82</f>
        <v>57.734999999999999</v>
      </c>
      <c r="C25" s="6">
        <f>FORMAT_Q!$C$82</f>
        <v>0.25</v>
      </c>
      <c r="D25" s="6">
        <f>FORMAT_Q!$D$82</f>
        <v>1</v>
      </c>
      <c r="E25" s="6">
        <f>FORMAT_Q!$E$82</f>
        <v>14.43375</v>
      </c>
      <c r="F25" s="143">
        <f>FORMAT_Q!$F$82</f>
        <v>14.43375</v>
      </c>
      <c r="G25" s="4">
        <f>FORMAT_Q!$N$82</f>
        <v>-14.43375</v>
      </c>
      <c r="H25" s="48">
        <f>FORMAT_Q!$Q$82</f>
        <v>-14.43375</v>
      </c>
      <c r="I25" s="200">
        <f>FORMAT_Q!$N$83</f>
        <v>0</v>
      </c>
      <c r="J25" s="199">
        <f t="shared" si="15"/>
        <v>0</v>
      </c>
      <c r="K25" s="199">
        <f t="shared" si="28"/>
        <v>6.2000000000000006E-3</v>
      </c>
      <c r="L25" s="199"/>
      <c r="M25" s="199">
        <f>100*0.00001/2/$F$25</f>
        <v>3.4641032302762627E-5</v>
      </c>
      <c r="N25" s="210">
        <f t="shared" si="16"/>
        <v>6.2001290310357265E-3</v>
      </c>
      <c r="O25" s="200">
        <f>FORMAT_Q!$Q$83</f>
        <v>0</v>
      </c>
      <c r="P25" s="199">
        <f t="shared" si="17"/>
        <v>0</v>
      </c>
      <c r="Q25" s="199">
        <f t="shared" si="29"/>
        <v>6.2000000000000006E-3</v>
      </c>
      <c r="R25" s="199"/>
      <c r="S25" s="199">
        <f>100*0.00001/2/$F$25</f>
        <v>3.4641032302762627E-5</v>
      </c>
      <c r="T25" s="210">
        <f t="shared" si="18"/>
        <v>6.2001290310357265E-3</v>
      </c>
      <c r="U25" s="268">
        <f t="shared" si="19"/>
        <v>8.9491112401711914E-4</v>
      </c>
      <c r="V25" s="545">
        <f t="shared" si="20"/>
        <v>6.2001290310357265E-3</v>
      </c>
      <c r="W25" s="312">
        <f t="shared" si="21"/>
        <v>0.28867500000000001</v>
      </c>
      <c r="X25" s="458">
        <v>1.5</v>
      </c>
      <c r="Y25" s="319" t="b">
        <f t="shared" si="22"/>
        <v>0</v>
      </c>
      <c r="Z25" s="467" t="b">
        <f t="shared" si="23"/>
        <v>0</v>
      </c>
      <c r="AA25" s="463" t="b">
        <f t="shared" si="24"/>
        <v>0</v>
      </c>
      <c r="AB25" s="316" t="b">
        <f t="shared" si="25"/>
        <v>0</v>
      </c>
    </row>
    <row r="26" spans="2:28" ht="12.9" customHeight="1">
      <c r="B26" s="85">
        <f>FORMAT_Q!$B$95</f>
        <v>57.734999999999999</v>
      </c>
      <c r="C26" s="6">
        <f>FORMAT_Q!$C$95</f>
        <v>9.9999999999999992E-2</v>
      </c>
      <c r="D26" s="6">
        <f>FORMAT_Q!$D$95</f>
        <v>1</v>
      </c>
      <c r="E26" s="6">
        <f>FORMAT_Q!$E$95</f>
        <v>5.7734999999999994</v>
      </c>
      <c r="F26" s="143">
        <f>FORMAT_Q!$F$95</f>
        <v>5.7734999999999994</v>
      </c>
      <c r="G26" s="4">
        <f>FORMAT_Q!$N$95</f>
        <v>-5.7734999999999994</v>
      </c>
      <c r="H26" s="48">
        <f>FORMAT_Q!$Q$95</f>
        <v>-5.7734999999999994</v>
      </c>
      <c r="I26" s="200">
        <f>FORMAT_Q!$N$96</f>
        <v>1.6215852745944756E-14</v>
      </c>
      <c r="J26" s="199">
        <f t="shared" si="15"/>
        <v>5.1279028879081166E-15</v>
      </c>
      <c r="K26" s="199">
        <f t="shared" si="28"/>
        <v>6.2000000000000006E-3</v>
      </c>
      <c r="L26" s="199"/>
      <c r="M26" s="199">
        <f>100*0.00001/2/$F$26</f>
        <v>8.6602580756906563E-5</v>
      </c>
      <c r="N26" s="210">
        <f t="shared" si="16"/>
        <v>6.2008063999229182E-3</v>
      </c>
      <c r="O26" s="200">
        <f>FORMAT_Q!$Q$96</f>
        <v>1.6215852745944756E-14</v>
      </c>
      <c r="P26" s="199">
        <f t="shared" si="17"/>
        <v>5.1279028879081166E-15</v>
      </c>
      <c r="Q26" s="199">
        <f t="shared" si="29"/>
        <v>6.2000000000000006E-3</v>
      </c>
      <c r="R26" s="199"/>
      <c r="S26" s="199">
        <f>100*0.00001/2/$F$26</f>
        <v>8.6602580756906563E-5</v>
      </c>
      <c r="T26" s="210">
        <f t="shared" si="18"/>
        <v>6.2008063999229182E-3</v>
      </c>
      <c r="U26" s="268">
        <f t="shared" si="19"/>
        <v>3.5800355749954964E-4</v>
      </c>
      <c r="V26" s="541">
        <f t="shared" si="20"/>
        <v>6.2008063999229182E-3</v>
      </c>
      <c r="W26" s="312">
        <f t="shared" si="21"/>
        <v>0.28867500000000001</v>
      </c>
      <c r="X26" s="458">
        <v>1.5</v>
      </c>
      <c r="Y26" s="319" t="b">
        <f t="shared" si="22"/>
        <v>0</v>
      </c>
      <c r="Z26" s="467" t="b">
        <f t="shared" si="23"/>
        <v>0</v>
      </c>
      <c r="AA26" s="463" t="b">
        <f t="shared" si="24"/>
        <v>0</v>
      </c>
      <c r="AB26" s="316" t="b">
        <f t="shared" si="25"/>
        <v>0</v>
      </c>
    </row>
    <row r="27" spans="2:28" ht="12.9" customHeight="1" thickBot="1">
      <c r="B27" s="86">
        <f>FORMAT_Q!$B$108</f>
        <v>72.168800000000019</v>
      </c>
      <c r="C27" s="17">
        <f>FORMAT_Q!$C$108</f>
        <v>4.9999999999999996E-2</v>
      </c>
      <c r="D27" s="17">
        <f>FORMAT_Q!$D$108</f>
        <v>1</v>
      </c>
      <c r="E27" s="17">
        <f>FORMAT_Q!$E$108</f>
        <v>3.6084400000000008</v>
      </c>
      <c r="F27" s="144">
        <f>FORMAT_Q!$F$108</f>
        <v>3.6084400000000008</v>
      </c>
      <c r="G27" s="15">
        <f>FORMAT_Q!$N$108</f>
        <v>-3.6084400000000008</v>
      </c>
      <c r="H27" s="49">
        <f>FORMAT_Q!$Q$108</f>
        <v>-3.6084400000000008</v>
      </c>
      <c r="I27" s="201">
        <f>FORMAT_Q!$N$109</f>
        <v>1.2972673209019965E-14</v>
      </c>
      <c r="J27" s="211">
        <f t="shared" si="15"/>
        <v>4.1023194681548678E-15</v>
      </c>
      <c r="K27" s="211">
        <f t="shared" si="28"/>
        <v>6.2000000000000006E-3</v>
      </c>
      <c r="L27" s="211"/>
      <c r="M27" s="211">
        <f>100*0.00001/2/$F$27</f>
        <v>1.3856403321102744E-4</v>
      </c>
      <c r="N27" s="213">
        <f t="shared" si="16"/>
        <v>6.2020641715802667E-3</v>
      </c>
      <c r="O27" s="201">
        <f>FORMAT_Q!$Q$109</f>
        <v>1.2972673209019965E-14</v>
      </c>
      <c r="P27" s="211">
        <f t="shared" si="17"/>
        <v>4.1023194681548678E-15</v>
      </c>
      <c r="Q27" s="211">
        <f t="shared" si="29"/>
        <v>6.2000000000000006E-3</v>
      </c>
      <c r="R27" s="211"/>
      <c r="S27" s="211">
        <f>100*0.00001/2/$F$27</f>
        <v>1.3856403321102744E-4</v>
      </c>
      <c r="T27" s="213">
        <f t="shared" si="18"/>
        <v>6.2020641715802667E-3</v>
      </c>
      <c r="U27" s="269">
        <f t="shared" si="19"/>
        <v>2.2379776439297101E-4</v>
      </c>
      <c r="V27" s="531">
        <f t="shared" si="20"/>
        <v>6.2020641715802667E-3</v>
      </c>
      <c r="W27" s="313">
        <f t="shared" si="21"/>
        <v>0.28867500000000001</v>
      </c>
      <c r="X27" s="462">
        <v>1.5</v>
      </c>
      <c r="Y27" s="320" t="b">
        <f t="shared" si="22"/>
        <v>0</v>
      </c>
      <c r="Z27" s="468" t="b">
        <f t="shared" si="23"/>
        <v>0</v>
      </c>
      <c r="AA27" s="464" t="b">
        <f t="shared" si="24"/>
        <v>0</v>
      </c>
      <c r="AB27" s="317" t="b">
        <f t="shared" si="25"/>
        <v>0</v>
      </c>
    </row>
    <row r="28" spans="2:28">
      <c r="B28" s="335"/>
      <c r="C28" s="335"/>
      <c r="D28" s="335"/>
      <c r="E28" s="335"/>
      <c r="F28" s="335"/>
      <c r="G28" s="335"/>
      <c r="H28" s="335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</row>
    <row r="29" spans="2:28" ht="15" thickBot="1">
      <c r="B29" s="335"/>
      <c r="C29" s="335"/>
      <c r="D29" s="335"/>
      <c r="E29" s="335"/>
      <c r="F29" s="335"/>
      <c r="G29" s="335"/>
      <c r="H29" s="335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</row>
    <row r="30" spans="2:28" s="336" customFormat="1" ht="17.25" customHeight="1" thickBot="1">
      <c r="B30" s="629" t="s">
        <v>57</v>
      </c>
      <c r="C30" s="630"/>
      <c r="D30" s="630"/>
      <c r="E30" s="630"/>
      <c r="F30" s="630"/>
      <c r="G30" s="630"/>
      <c r="H30" s="631"/>
      <c r="I30" s="619" t="s">
        <v>58</v>
      </c>
      <c r="J30" s="620"/>
      <c r="K30" s="620"/>
      <c r="L30" s="620"/>
      <c r="M30" s="620"/>
      <c r="N30" s="620"/>
      <c r="O30" s="620"/>
      <c r="P30" s="620"/>
      <c r="Q30" s="620"/>
      <c r="R30" s="620"/>
      <c r="S30" s="620"/>
      <c r="T30" s="621"/>
      <c r="U30" s="77"/>
      <c r="W30" s="77"/>
      <c r="X30" s="77"/>
      <c r="Y30" s="77"/>
      <c r="Z30" s="77"/>
      <c r="AA30" s="335"/>
      <c r="AB30" s="335"/>
    </row>
    <row r="31" spans="2:28" ht="17.25" customHeight="1" thickBot="1">
      <c r="B31" s="622" t="s">
        <v>46</v>
      </c>
      <c r="C31" s="623"/>
      <c r="D31" s="623"/>
      <c r="E31" s="623"/>
      <c r="F31" s="623"/>
      <c r="G31" s="622" t="s">
        <v>77</v>
      </c>
      <c r="H31" s="632"/>
      <c r="I31" s="635" t="s">
        <v>47</v>
      </c>
      <c r="J31" s="636"/>
      <c r="K31" s="636"/>
      <c r="L31" s="636"/>
      <c r="M31" s="636"/>
      <c r="N31" s="637"/>
      <c r="O31" s="635" t="s">
        <v>48</v>
      </c>
      <c r="P31" s="636"/>
      <c r="Q31" s="636"/>
      <c r="R31" s="636"/>
      <c r="S31" s="636"/>
      <c r="T31" s="637"/>
      <c r="W31" s="614" t="s">
        <v>114</v>
      </c>
      <c r="X31" s="615"/>
      <c r="Y31" s="612" t="s">
        <v>107</v>
      </c>
      <c r="Z31" s="613"/>
      <c r="AA31" s="614" t="s">
        <v>108</v>
      </c>
      <c r="AB31" s="615"/>
    </row>
    <row r="32" spans="2:28" ht="21" customHeight="1" thickBot="1">
      <c r="B32" s="405" t="s">
        <v>14</v>
      </c>
      <c r="C32" s="301" t="s">
        <v>143</v>
      </c>
      <c r="D32" s="302" t="s">
        <v>0</v>
      </c>
      <c r="E32" s="406" t="s">
        <v>149</v>
      </c>
      <c r="F32" s="40" t="s">
        <v>148</v>
      </c>
      <c r="G32" s="253" t="s">
        <v>80</v>
      </c>
      <c r="H32" s="255" t="s">
        <v>81</v>
      </c>
      <c r="I32" s="548" t="s">
        <v>49</v>
      </c>
      <c r="J32" s="549" t="s">
        <v>61</v>
      </c>
      <c r="K32" s="549" t="s">
        <v>62</v>
      </c>
      <c r="L32" s="549" t="s">
        <v>63</v>
      </c>
      <c r="M32" s="549" t="s">
        <v>64</v>
      </c>
      <c r="N32" s="550" t="s">
        <v>65</v>
      </c>
      <c r="O32" s="548" t="s">
        <v>49</v>
      </c>
      <c r="P32" s="549" t="s">
        <v>61</v>
      </c>
      <c r="Q32" s="549" t="s">
        <v>62</v>
      </c>
      <c r="R32" s="549" t="s">
        <v>63</v>
      </c>
      <c r="S32" s="549" t="s">
        <v>64</v>
      </c>
      <c r="T32" s="550" t="s">
        <v>65</v>
      </c>
      <c r="U32" s="533" t="s">
        <v>88</v>
      </c>
      <c r="V32" s="540" t="s">
        <v>54</v>
      </c>
      <c r="W32" s="314" t="s">
        <v>104</v>
      </c>
      <c r="X32" s="315" t="s">
        <v>105</v>
      </c>
      <c r="Y32" s="318" t="s">
        <v>47</v>
      </c>
      <c r="Z32" s="455" t="s">
        <v>48</v>
      </c>
      <c r="AA32" s="314" t="s">
        <v>47</v>
      </c>
      <c r="AB32" s="315" t="s">
        <v>48</v>
      </c>
    </row>
    <row r="33" spans="2:28" ht="12.9" customHeight="1">
      <c r="B33" s="85">
        <f>FORMAT_Q!$B$4</f>
        <v>57.734999999999999</v>
      </c>
      <c r="C33" s="6">
        <f>FORMAT_Q!$C$4</f>
        <v>5</v>
      </c>
      <c r="D33" s="6">
        <f>FORMAT_Q!$D$4</f>
        <v>1</v>
      </c>
      <c r="E33" s="6">
        <f>FORMAT_Q!$E$4</f>
        <v>288.67500000000007</v>
      </c>
      <c r="F33" s="143">
        <f>FORMAT_Q!$F$4</f>
        <v>288.67500000000007</v>
      </c>
      <c r="G33" s="85">
        <f>FORMAT_Q!$O$4</f>
        <v>-288.67500000000007</v>
      </c>
      <c r="H33" s="96">
        <f>FORMAT_Q!$R$4</f>
        <v>-288.67500000000007</v>
      </c>
      <c r="I33" s="221">
        <f>FORMAT_Q!$O$5</f>
        <v>2.0756291514809279E-14</v>
      </c>
      <c r="J33" s="222">
        <f>I33/10^0.5</f>
        <v>6.5637156965223872E-15</v>
      </c>
      <c r="K33" s="222">
        <f>0.000065*100</f>
        <v>6.4999999999999997E-3</v>
      </c>
      <c r="L33" s="222"/>
      <c r="M33" s="222">
        <f>100*0.001/2/$F$33</f>
        <v>1.7320516151381307E-4</v>
      </c>
      <c r="N33" s="546">
        <f>2*(J33^2+K33^2/4+L33^2/3+M33^2/3)^0.5</f>
        <v>6.5030761980235195E-3</v>
      </c>
      <c r="O33" s="221">
        <f>FORMAT_Q!$R$5</f>
        <v>2.0756291514809279E-14</v>
      </c>
      <c r="P33" s="222">
        <f>O33/10^0.5</f>
        <v>6.5637156965223872E-15</v>
      </c>
      <c r="Q33" s="222">
        <f>0.000065*100</f>
        <v>6.4999999999999997E-3</v>
      </c>
      <c r="R33" s="222"/>
      <c r="S33" s="222">
        <f>100*0.001/2/$F$33</f>
        <v>1.7320516151381307E-4</v>
      </c>
      <c r="T33" s="546">
        <f>2*(P33^2+Q33^2/4+R33^2/3+S33^2/3)^0.5</f>
        <v>6.5030761980235195E-3</v>
      </c>
      <c r="U33" s="547">
        <f>T33*0.01*E33</f>
        <v>1.8772755214644398E-2</v>
      </c>
      <c r="V33" s="535">
        <f>IF(T33&gt;N33,T33,N33)</f>
        <v>6.5030761980235195E-3</v>
      </c>
      <c r="W33" s="312">
        <f>0.001*$B$5*$C$5</f>
        <v>0.28867500000000001</v>
      </c>
      <c r="X33" s="458">
        <f>0.01*E33</f>
        <v>2.8867500000000006</v>
      </c>
      <c r="Y33" s="319" t="b">
        <f>IF(ABS(G33)&lt;W33,TRUE,FALSE)</f>
        <v>0</v>
      </c>
      <c r="Z33" s="467" t="b">
        <f>IF(ABS(H33)&lt;W33,TRUE,FALSE)</f>
        <v>0</v>
      </c>
      <c r="AA33" s="463" t="b">
        <f>IF(ABS(G33)&lt;X33,TRUE,FALSE)</f>
        <v>0</v>
      </c>
      <c r="AB33" s="316" t="b">
        <f>IF(ABS(H33)&lt;X33,TRUE,FALSE)</f>
        <v>0</v>
      </c>
    </row>
    <row r="34" spans="2:28" ht="12.9" customHeight="1">
      <c r="B34" s="85">
        <f>FORMAT_Q!$B$17</f>
        <v>57.734999999999999</v>
      </c>
      <c r="C34" s="6">
        <f>FORMAT_Q!$C$17</f>
        <v>5</v>
      </c>
      <c r="D34" s="6">
        <f>FORMAT_Q!$D$17</f>
        <v>0.5</v>
      </c>
      <c r="E34" s="6">
        <f>FORMAT_Q!$E$17</f>
        <v>144.33750000000003</v>
      </c>
      <c r="F34" s="143">
        <f>FORMAT_Q!$F$17</f>
        <v>288.67500000000007</v>
      </c>
      <c r="G34" s="85">
        <f>FORMAT_Q!$O$17</f>
        <v>-144.33750000000003</v>
      </c>
      <c r="H34" s="96">
        <f>FORMAT_Q!$R$17</f>
        <v>-144.33750000000003</v>
      </c>
      <c r="I34" s="200">
        <f>FORMAT_Q!$O$18</f>
        <v>1.037814575740464E-14</v>
      </c>
      <c r="J34" s="199">
        <f t="shared" ref="J34:J41" si="30">I34/10^0.5</f>
        <v>3.2818578482611936E-15</v>
      </c>
      <c r="K34" s="199">
        <f>0.000093*100</f>
        <v>9.2999999999999992E-3</v>
      </c>
      <c r="L34" s="199"/>
      <c r="M34" s="199">
        <f>100*0.001/2/$F$34</f>
        <v>1.7320516151381307E-4</v>
      </c>
      <c r="N34" s="210">
        <f t="shared" ref="N34:N41" si="31">2*(J34^2+K34^2/4+L34^2/3+M34^2/3)^0.5</f>
        <v>9.3021502910509892E-3</v>
      </c>
      <c r="O34" s="200">
        <f>FORMAT_Q!$R$18</f>
        <v>1.037814575740464E-14</v>
      </c>
      <c r="P34" s="199">
        <f t="shared" ref="P34:P41" si="32">O34/10^0.5</f>
        <v>3.2818578482611936E-15</v>
      </c>
      <c r="Q34" s="199">
        <f>0.000093*100</f>
        <v>9.2999999999999992E-3</v>
      </c>
      <c r="R34" s="199"/>
      <c r="S34" s="199">
        <f>100*0.001/2/$F$34</f>
        <v>1.7320516151381307E-4</v>
      </c>
      <c r="T34" s="210">
        <f t="shared" ref="T34:T41" si="33">2*(P34^2+Q34^2/4+R34^2/3+S34^2/3)^0.5</f>
        <v>9.3021502910509892E-3</v>
      </c>
      <c r="U34" s="266">
        <f t="shared" ref="U34:U41" si="34">T34*0.01*E34</f>
        <v>1.3426491176345725E-2</v>
      </c>
      <c r="V34" s="541">
        <f t="shared" ref="V34:V41" si="35">IF(T34&gt;N34,T34,N34)</f>
        <v>9.3021502910509892E-3</v>
      </c>
      <c r="W34" s="312">
        <f t="shared" ref="W34:W41" si="36">0.001*$B$5*$C$5</f>
        <v>0.28867500000000001</v>
      </c>
      <c r="X34" s="458">
        <v>1.5</v>
      </c>
      <c r="Y34" s="319" t="b">
        <f t="shared" ref="Y34:Y41" si="37">IF(ABS(G34)&lt;W34,TRUE,FALSE)</f>
        <v>0</v>
      </c>
      <c r="Z34" s="467" t="b">
        <f t="shared" ref="Z34:Z41" si="38">IF(ABS(H34)&lt;W34,TRUE,FALSE)</f>
        <v>0</v>
      </c>
      <c r="AA34" s="463" t="b">
        <f t="shared" ref="AA34:AA41" si="39">IF(ABS(G34)&lt;X34,TRUE,FALSE)</f>
        <v>0</v>
      </c>
      <c r="AB34" s="316" t="b">
        <f t="shared" ref="AB34:AB41" si="40">IF(ABS(H34)&lt;X34,TRUE,FALSE)</f>
        <v>0</v>
      </c>
    </row>
    <row r="35" spans="2:28" ht="12.9" customHeight="1">
      <c r="B35" s="85">
        <f>FORMAT_Q!$B$30</f>
        <v>57.734999999999999</v>
      </c>
      <c r="C35" s="6">
        <f>FORMAT_Q!$C$30</f>
        <v>5</v>
      </c>
      <c r="D35" s="6">
        <f>FORMAT_Q!$D$30</f>
        <v>0.5</v>
      </c>
      <c r="E35" s="6">
        <f>FORMAT_Q!$E$30</f>
        <v>144.33750000000003</v>
      </c>
      <c r="F35" s="143">
        <f>FORMAT_Q!$F$30</f>
        <v>288.67500000000007</v>
      </c>
      <c r="G35" s="85">
        <f>FORMAT_Q!$O$30</f>
        <v>-144.33750000000003</v>
      </c>
      <c r="H35" s="96">
        <f>FORMAT_Q!$R$30</f>
        <v>-144.33750000000003</v>
      </c>
      <c r="I35" s="200">
        <f>FORMAT_Q!$O$31</f>
        <v>1.037814575740464E-14</v>
      </c>
      <c r="J35" s="199">
        <f t="shared" si="30"/>
        <v>3.2818578482611936E-15</v>
      </c>
      <c r="K35" s="199">
        <f>0.000093*100</f>
        <v>9.2999999999999992E-3</v>
      </c>
      <c r="L35" s="199"/>
      <c r="M35" s="199">
        <f>100*0.001/2/$F$35</f>
        <v>1.7320516151381307E-4</v>
      </c>
      <c r="N35" s="210">
        <f t="shared" si="31"/>
        <v>9.3021502910509892E-3</v>
      </c>
      <c r="O35" s="200">
        <f>FORMAT_Q!$R$31</f>
        <v>1.037814575740464E-14</v>
      </c>
      <c r="P35" s="199">
        <f t="shared" si="32"/>
        <v>3.2818578482611936E-15</v>
      </c>
      <c r="Q35" s="199">
        <f>0.000093*100</f>
        <v>9.2999999999999992E-3</v>
      </c>
      <c r="R35" s="199"/>
      <c r="S35" s="199">
        <f>100*0.001/2/$F$35</f>
        <v>1.7320516151381307E-4</v>
      </c>
      <c r="T35" s="210">
        <f t="shared" si="33"/>
        <v>9.3021502910509892E-3</v>
      </c>
      <c r="U35" s="266">
        <f t="shared" si="34"/>
        <v>1.3426491176345725E-2</v>
      </c>
      <c r="V35" s="541">
        <f t="shared" si="35"/>
        <v>9.3021502910509892E-3</v>
      </c>
      <c r="W35" s="312">
        <f t="shared" si="36"/>
        <v>0.28867500000000001</v>
      </c>
      <c r="X35" s="458">
        <v>1.5</v>
      </c>
      <c r="Y35" s="319" t="b">
        <f t="shared" si="37"/>
        <v>0</v>
      </c>
      <c r="Z35" s="467" t="b">
        <f t="shared" si="38"/>
        <v>0</v>
      </c>
      <c r="AA35" s="463" t="b">
        <f t="shared" si="39"/>
        <v>0</v>
      </c>
      <c r="AB35" s="316" t="b">
        <f t="shared" si="40"/>
        <v>0</v>
      </c>
    </row>
    <row r="36" spans="2:28" ht="12.9" customHeight="1">
      <c r="B36" s="85">
        <f>FORMAT_Q!$B$43</f>
        <v>57.734999999999999</v>
      </c>
      <c r="C36" s="6">
        <f>FORMAT_Q!$C$43</f>
        <v>2.5</v>
      </c>
      <c r="D36" s="6">
        <f>FORMAT_Q!$D$43</f>
        <v>1</v>
      </c>
      <c r="E36" s="6">
        <f>FORMAT_Q!$E$43</f>
        <v>144.33750000000003</v>
      </c>
      <c r="F36" s="143">
        <f>FORMAT_Q!$F$43</f>
        <v>144.33750000000003</v>
      </c>
      <c r="G36" s="90">
        <f>FORMAT_Q!$O$43</f>
        <v>-144.33750000000003</v>
      </c>
      <c r="H36" s="249">
        <f>FORMAT_Q!$R$43</f>
        <v>-144.33750000000003</v>
      </c>
      <c r="I36" s="200">
        <f>FORMAT_Q!$O$44</f>
        <v>2.0756291514809279E-14</v>
      </c>
      <c r="J36" s="199">
        <f t="shared" si="30"/>
        <v>6.5637156965223872E-15</v>
      </c>
      <c r="K36" s="199">
        <f t="shared" ref="K36" si="41">0.000065*100</f>
        <v>6.4999999999999997E-3</v>
      </c>
      <c r="L36" s="199"/>
      <c r="M36" s="199">
        <f>100*0.0001/2/$F$36</f>
        <v>3.4641032302762613E-5</v>
      </c>
      <c r="N36" s="210">
        <f t="shared" si="31"/>
        <v>6.5001230758726406E-3</v>
      </c>
      <c r="O36" s="200">
        <f>FORMAT_Q!$R$44</f>
        <v>2.0756291514809279E-14</v>
      </c>
      <c r="P36" s="199">
        <f t="shared" si="32"/>
        <v>6.5637156965223872E-15</v>
      </c>
      <c r="Q36" s="199">
        <f t="shared" ref="Q36" si="42">0.000065*100</f>
        <v>6.4999999999999997E-3</v>
      </c>
      <c r="R36" s="199"/>
      <c r="S36" s="199">
        <f>100*0.0001/2/$F$36</f>
        <v>3.4641032302762613E-5</v>
      </c>
      <c r="T36" s="210">
        <f t="shared" si="33"/>
        <v>6.5001230758726406E-3</v>
      </c>
      <c r="U36" s="156">
        <f t="shared" si="34"/>
        <v>9.3821151446376767E-3</v>
      </c>
      <c r="V36" s="541">
        <f t="shared" si="35"/>
        <v>6.5001230758726406E-3</v>
      </c>
      <c r="W36" s="312">
        <f t="shared" si="36"/>
        <v>0.28867500000000001</v>
      </c>
      <c r="X36" s="458">
        <v>1.5</v>
      </c>
      <c r="Y36" s="319" t="b">
        <f t="shared" si="37"/>
        <v>0</v>
      </c>
      <c r="Z36" s="467" t="b">
        <f t="shared" si="38"/>
        <v>0</v>
      </c>
      <c r="AA36" s="463" t="b">
        <f t="shared" si="39"/>
        <v>0</v>
      </c>
      <c r="AB36" s="316" t="b">
        <f t="shared" si="40"/>
        <v>0</v>
      </c>
    </row>
    <row r="37" spans="2:28" ht="12.9" customHeight="1">
      <c r="B37" s="85">
        <f>FORMAT_Q!$B$56</f>
        <v>57.734999999999999</v>
      </c>
      <c r="C37" s="6">
        <f>FORMAT_Q!$C$56</f>
        <v>1</v>
      </c>
      <c r="D37" s="6">
        <f>FORMAT_Q!$D$56</f>
        <v>1</v>
      </c>
      <c r="E37" s="6">
        <f>FORMAT_Q!$E$56</f>
        <v>57.734999999999999</v>
      </c>
      <c r="F37" s="143">
        <f>FORMAT_Q!$F$56</f>
        <v>57.734999999999999</v>
      </c>
      <c r="G37" s="90">
        <f>FORMAT_Q!$O$56</f>
        <v>-57.734999999999999</v>
      </c>
      <c r="H37" s="249">
        <f>FORMAT_Q!$R$56</f>
        <v>-57.734999999999999</v>
      </c>
      <c r="I37" s="200">
        <f>FORMAT_Q!$O$57</f>
        <v>0</v>
      </c>
      <c r="J37" s="199">
        <f t="shared" si="30"/>
        <v>0</v>
      </c>
      <c r="K37" s="199">
        <f>0.000062*100</f>
        <v>6.2000000000000006E-3</v>
      </c>
      <c r="L37" s="199"/>
      <c r="M37" s="199">
        <f>100*0.0001/2/$F$37</f>
        <v>8.6602580756906563E-5</v>
      </c>
      <c r="N37" s="210">
        <f t="shared" si="31"/>
        <v>6.2008063999229182E-3</v>
      </c>
      <c r="O37" s="200">
        <f>FORMAT_Q!$R$57</f>
        <v>0</v>
      </c>
      <c r="P37" s="199">
        <f t="shared" si="32"/>
        <v>0</v>
      </c>
      <c r="Q37" s="199">
        <f>0.000062*100</f>
        <v>6.2000000000000006E-3</v>
      </c>
      <c r="R37" s="199"/>
      <c r="S37" s="199">
        <f>100*0.0001/2/$F$37</f>
        <v>8.6602580756906563E-5</v>
      </c>
      <c r="T37" s="210">
        <f t="shared" si="33"/>
        <v>6.2008063999229182E-3</v>
      </c>
      <c r="U37" s="156">
        <f t="shared" si="34"/>
        <v>3.5800355749954966E-3</v>
      </c>
      <c r="V37" s="541">
        <f t="shared" si="35"/>
        <v>6.2008063999229182E-3</v>
      </c>
      <c r="W37" s="312">
        <f t="shared" si="36"/>
        <v>0.28867500000000001</v>
      </c>
      <c r="X37" s="458">
        <v>1.5</v>
      </c>
      <c r="Y37" s="319" t="b">
        <f t="shared" si="37"/>
        <v>0</v>
      </c>
      <c r="Z37" s="467" t="b">
        <f t="shared" si="38"/>
        <v>0</v>
      </c>
      <c r="AA37" s="463" t="b">
        <f t="shared" si="39"/>
        <v>0</v>
      </c>
      <c r="AB37" s="316" t="b">
        <f t="shared" si="40"/>
        <v>0</v>
      </c>
    </row>
    <row r="38" spans="2:28" ht="12.9" customHeight="1">
      <c r="B38" s="85">
        <f>FORMAT_Q!$B$69</f>
        <v>57.734999999999999</v>
      </c>
      <c r="C38" s="6">
        <f>FORMAT_Q!$C$69</f>
        <v>0.5</v>
      </c>
      <c r="D38" s="6">
        <f>FORMAT_Q!$D$69</f>
        <v>1</v>
      </c>
      <c r="E38" s="6">
        <f>FORMAT_Q!$E$69</f>
        <v>28.8675</v>
      </c>
      <c r="F38" s="143">
        <f>FORMAT_Q!$F$69</f>
        <v>28.8675</v>
      </c>
      <c r="G38" s="90">
        <f>FORMAT_Q!$O$69</f>
        <v>-28.8675</v>
      </c>
      <c r="H38" s="249">
        <f>FORMAT_Q!$R$69</f>
        <v>-28.8675</v>
      </c>
      <c r="I38" s="200">
        <f>FORMAT_Q!$O$70</f>
        <v>0</v>
      </c>
      <c r="J38" s="199">
        <f t="shared" si="30"/>
        <v>0</v>
      </c>
      <c r="K38" s="199">
        <f t="shared" ref="K38:K41" si="43">0.000062*100</f>
        <v>6.2000000000000006E-3</v>
      </c>
      <c r="L38" s="199"/>
      <c r="M38" s="199">
        <f>100*0.0001/2/$F$38</f>
        <v>1.7320516151381313E-4</v>
      </c>
      <c r="N38" s="210">
        <f t="shared" si="31"/>
        <v>6.2032249707148334E-3</v>
      </c>
      <c r="O38" s="200">
        <f>FORMAT_Q!$R$70</f>
        <v>0</v>
      </c>
      <c r="P38" s="199">
        <f t="shared" si="32"/>
        <v>0</v>
      </c>
      <c r="Q38" s="199">
        <f t="shared" ref="Q38:Q41" si="44">0.000062*100</f>
        <v>6.2000000000000006E-3</v>
      </c>
      <c r="R38" s="199"/>
      <c r="S38" s="199">
        <f>100*0.0001/2/$F$38</f>
        <v>1.7320516151381313E-4</v>
      </c>
      <c r="T38" s="210">
        <f t="shared" si="33"/>
        <v>6.2032249707148334E-3</v>
      </c>
      <c r="U38" s="156">
        <f t="shared" si="34"/>
        <v>1.7907159684211044E-3</v>
      </c>
      <c r="V38" s="541">
        <f t="shared" si="35"/>
        <v>6.2032249707148334E-3</v>
      </c>
      <c r="W38" s="312">
        <f t="shared" si="36"/>
        <v>0.28867500000000001</v>
      </c>
      <c r="X38" s="458">
        <v>1.5</v>
      </c>
      <c r="Y38" s="319" t="b">
        <f t="shared" si="37"/>
        <v>0</v>
      </c>
      <c r="Z38" s="467" t="b">
        <f t="shared" si="38"/>
        <v>0</v>
      </c>
      <c r="AA38" s="463" t="b">
        <f t="shared" si="39"/>
        <v>0</v>
      </c>
      <c r="AB38" s="316" t="b">
        <f t="shared" si="40"/>
        <v>0</v>
      </c>
    </row>
    <row r="39" spans="2:28" ht="12.9" customHeight="1">
      <c r="B39" s="85">
        <f>FORMAT_Q!$B$82</f>
        <v>57.734999999999999</v>
      </c>
      <c r="C39" s="6">
        <f>FORMAT_Q!$C$82</f>
        <v>0.25</v>
      </c>
      <c r="D39" s="6">
        <f>FORMAT_Q!$D$82</f>
        <v>1</v>
      </c>
      <c r="E39" s="6">
        <f>FORMAT_Q!$E$82</f>
        <v>14.43375</v>
      </c>
      <c r="F39" s="143">
        <f>FORMAT_Q!$F$82</f>
        <v>14.43375</v>
      </c>
      <c r="G39" s="4">
        <f>FORMAT_Q!$O$82</f>
        <v>-14.43375</v>
      </c>
      <c r="H39" s="48">
        <f>FORMAT_Q!$R$82</f>
        <v>-14.43375</v>
      </c>
      <c r="I39" s="200">
        <f>FORMAT_Q!$O$83</f>
        <v>0</v>
      </c>
      <c r="J39" s="199">
        <f t="shared" si="30"/>
        <v>0</v>
      </c>
      <c r="K39" s="199">
        <f t="shared" si="43"/>
        <v>6.2000000000000006E-3</v>
      </c>
      <c r="L39" s="199"/>
      <c r="M39" s="199">
        <f>100*0.00001/2/$F$39</f>
        <v>3.4641032302762627E-5</v>
      </c>
      <c r="N39" s="210">
        <f t="shared" si="31"/>
        <v>6.2001290310357265E-3</v>
      </c>
      <c r="O39" s="200">
        <f>FORMAT_Q!$R$83</f>
        <v>0</v>
      </c>
      <c r="P39" s="199">
        <f t="shared" si="32"/>
        <v>0</v>
      </c>
      <c r="Q39" s="199">
        <f t="shared" si="44"/>
        <v>6.2000000000000006E-3</v>
      </c>
      <c r="R39" s="199"/>
      <c r="S39" s="199">
        <f>100*0.00001/2/$F$39</f>
        <v>3.4641032302762627E-5</v>
      </c>
      <c r="T39" s="210">
        <f t="shared" si="33"/>
        <v>6.2001290310357265E-3</v>
      </c>
      <c r="U39" s="268">
        <f t="shared" si="34"/>
        <v>8.9491112401711914E-4</v>
      </c>
      <c r="V39" s="545">
        <f t="shared" si="35"/>
        <v>6.2001290310357265E-3</v>
      </c>
      <c r="W39" s="312">
        <f t="shared" si="36"/>
        <v>0.28867500000000001</v>
      </c>
      <c r="X39" s="458">
        <v>1.5</v>
      </c>
      <c r="Y39" s="319" t="b">
        <f t="shared" si="37"/>
        <v>0</v>
      </c>
      <c r="Z39" s="467" t="b">
        <f t="shared" si="38"/>
        <v>0</v>
      </c>
      <c r="AA39" s="463" t="b">
        <f t="shared" si="39"/>
        <v>0</v>
      </c>
      <c r="AB39" s="316" t="b">
        <f t="shared" si="40"/>
        <v>0</v>
      </c>
    </row>
    <row r="40" spans="2:28" ht="12.9" customHeight="1">
      <c r="B40" s="85">
        <f>FORMAT_Q!$B$95</f>
        <v>57.734999999999999</v>
      </c>
      <c r="C40" s="6">
        <f>FORMAT_Q!$C$95</f>
        <v>9.9999999999999992E-2</v>
      </c>
      <c r="D40" s="6">
        <f>FORMAT_Q!$D$95</f>
        <v>1</v>
      </c>
      <c r="E40" s="6">
        <f>FORMAT_Q!$E$95</f>
        <v>5.7734999999999994</v>
      </c>
      <c r="F40" s="143">
        <f>FORMAT_Q!$F$95</f>
        <v>5.7734999999999994</v>
      </c>
      <c r="G40" s="4">
        <f>FORMAT_Q!$O$95</f>
        <v>-5.7734999999999994</v>
      </c>
      <c r="H40" s="48">
        <f>FORMAT_Q!$R$95</f>
        <v>-5.7734999999999994</v>
      </c>
      <c r="I40" s="200">
        <f>FORMAT_Q!$O$96</f>
        <v>1.6215852745944756E-14</v>
      </c>
      <c r="J40" s="199">
        <f t="shared" si="30"/>
        <v>5.1279028879081166E-15</v>
      </c>
      <c r="K40" s="199">
        <f t="shared" si="43"/>
        <v>6.2000000000000006E-3</v>
      </c>
      <c r="L40" s="199"/>
      <c r="M40" s="199">
        <f>100*0.00001/2/$F$40</f>
        <v>8.6602580756906563E-5</v>
      </c>
      <c r="N40" s="210">
        <f t="shared" si="31"/>
        <v>6.2008063999229182E-3</v>
      </c>
      <c r="O40" s="200">
        <f>FORMAT_Q!$R$96</f>
        <v>1.6215852745944756E-14</v>
      </c>
      <c r="P40" s="199">
        <f t="shared" si="32"/>
        <v>5.1279028879081166E-15</v>
      </c>
      <c r="Q40" s="199">
        <f t="shared" si="44"/>
        <v>6.2000000000000006E-3</v>
      </c>
      <c r="R40" s="199"/>
      <c r="S40" s="199">
        <f>100*0.00001/2/$F$40</f>
        <v>8.6602580756906563E-5</v>
      </c>
      <c r="T40" s="210">
        <f t="shared" si="33"/>
        <v>6.2008063999229182E-3</v>
      </c>
      <c r="U40" s="268">
        <f t="shared" si="34"/>
        <v>3.5800355749954964E-4</v>
      </c>
      <c r="V40" s="541">
        <f t="shared" si="35"/>
        <v>6.2008063999229182E-3</v>
      </c>
      <c r="W40" s="312">
        <f t="shared" si="36"/>
        <v>0.28867500000000001</v>
      </c>
      <c r="X40" s="458">
        <v>1.5</v>
      </c>
      <c r="Y40" s="319" t="b">
        <f t="shared" si="37"/>
        <v>0</v>
      </c>
      <c r="Z40" s="467" t="b">
        <f t="shared" si="38"/>
        <v>0</v>
      </c>
      <c r="AA40" s="463" t="b">
        <f t="shared" si="39"/>
        <v>0</v>
      </c>
      <c r="AB40" s="316" t="b">
        <f t="shared" si="40"/>
        <v>0</v>
      </c>
    </row>
    <row r="41" spans="2:28" ht="12.9" customHeight="1" thickBot="1">
      <c r="B41" s="86">
        <f>FORMAT_Q!$B$108</f>
        <v>72.168800000000019</v>
      </c>
      <c r="C41" s="17">
        <f>FORMAT_Q!$C$108</f>
        <v>4.9999999999999996E-2</v>
      </c>
      <c r="D41" s="17">
        <f>FORMAT_Q!$D$108</f>
        <v>1</v>
      </c>
      <c r="E41" s="17">
        <f>FORMAT_Q!$E$108</f>
        <v>3.6084400000000008</v>
      </c>
      <c r="F41" s="144">
        <f>FORMAT_Q!$F$108</f>
        <v>3.6084400000000008</v>
      </c>
      <c r="G41" s="15">
        <f>FORMAT_Q!$O$108</f>
        <v>-3.6084400000000008</v>
      </c>
      <c r="H41" s="49">
        <f>FORMAT_Q!$R$108</f>
        <v>-3.6084400000000008</v>
      </c>
      <c r="I41" s="201">
        <f>FORMAT_Q!$O$109</f>
        <v>1.2972673209019965E-14</v>
      </c>
      <c r="J41" s="211">
        <f t="shared" si="30"/>
        <v>4.1023194681548678E-15</v>
      </c>
      <c r="K41" s="211">
        <f t="shared" si="43"/>
        <v>6.2000000000000006E-3</v>
      </c>
      <c r="L41" s="211"/>
      <c r="M41" s="211">
        <f>100*0.00001/2/$F$41</f>
        <v>1.3856403321102744E-4</v>
      </c>
      <c r="N41" s="213">
        <f t="shared" si="31"/>
        <v>6.2020641715802667E-3</v>
      </c>
      <c r="O41" s="201">
        <f>FORMAT_Q!$R$109</f>
        <v>1.2972673209019965E-14</v>
      </c>
      <c r="P41" s="211">
        <f t="shared" si="32"/>
        <v>4.1023194681548678E-15</v>
      </c>
      <c r="Q41" s="211">
        <f t="shared" si="44"/>
        <v>6.2000000000000006E-3</v>
      </c>
      <c r="R41" s="211"/>
      <c r="S41" s="211">
        <f>100*0.00001/2/$F$41</f>
        <v>1.3856403321102744E-4</v>
      </c>
      <c r="T41" s="213">
        <f t="shared" si="33"/>
        <v>6.2020641715802667E-3</v>
      </c>
      <c r="U41" s="269">
        <f t="shared" si="34"/>
        <v>2.2379776439297101E-4</v>
      </c>
      <c r="V41" s="531">
        <f t="shared" si="35"/>
        <v>6.2020641715802667E-3</v>
      </c>
      <c r="W41" s="313">
        <f t="shared" si="36"/>
        <v>0.28867500000000001</v>
      </c>
      <c r="X41" s="462">
        <v>1.5</v>
      </c>
      <c r="Y41" s="320" t="b">
        <f t="shared" si="37"/>
        <v>0</v>
      </c>
      <c r="Z41" s="468" t="b">
        <f t="shared" si="38"/>
        <v>0</v>
      </c>
      <c r="AA41" s="464" t="b">
        <f t="shared" si="39"/>
        <v>0</v>
      </c>
      <c r="AB41" s="317" t="b">
        <f t="shared" si="40"/>
        <v>0</v>
      </c>
    </row>
  </sheetData>
  <mergeCells count="28">
    <mergeCell ref="W31:X31"/>
    <mergeCell ref="Y31:Z31"/>
    <mergeCell ref="AA31:AB31"/>
    <mergeCell ref="W3:X3"/>
    <mergeCell ref="Y3:Z3"/>
    <mergeCell ref="AA3:AB3"/>
    <mergeCell ref="W17:X17"/>
    <mergeCell ref="Y17:Z17"/>
    <mergeCell ref="AA17:AB17"/>
    <mergeCell ref="B30:H30"/>
    <mergeCell ref="I30:T30"/>
    <mergeCell ref="G31:H31"/>
    <mergeCell ref="I31:N31"/>
    <mergeCell ref="O31:T31"/>
    <mergeCell ref="B31:F31"/>
    <mergeCell ref="B1:T1"/>
    <mergeCell ref="B2:H2"/>
    <mergeCell ref="I2:T2"/>
    <mergeCell ref="G3:H3"/>
    <mergeCell ref="I3:N3"/>
    <mergeCell ref="O3:T3"/>
    <mergeCell ref="B3:F3"/>
    <mergeCell ref="B16:H16"/>
    <mergeCell ref="I16:T16"/>
    <mergeCell ref="G17:H17"/>
    <mergeCell ref="I17:N17"/>
    <mergeCell ref="O17:T17"/>
    <mergeCell ref="B17:F17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ayfa12">
    <tabColor rgb="FF00B050"/>
  </sheetPr>
  <dimension ref="A1:Z174"/>
  <sheetViews>
    <sheetView zoomScale="80" zoomScaleNormal="80" workbookViewId="0">
      <selection activeCell="T4" sqref="T4"/>
    </sheetView>
  </sheetViews>
  <sheetFormatPr defaultColWidth="9.109375" defaultRowHeight="11.4"/>
  <cols>
    <col min="1" max="1" width="5.5546875" style="206" bestFit="1" customWidth="1"/>
    <col min="2" max="2" width="9.5546875" style="206" customWidth="1"/>
    <col min="3" max="3" width="10.33203125" style="206" customWidth="1"/>
    <col min="4" max="4" width="11.109375" style="206" customWidth="1"/>
    <col min="5" max="5" width="12.109375" style="206" customWidth="1"/>
    <col min="6" max="6" width="17.33203125" style="206" customWidth="1"/>
    <col min="7" max="7" width="9.109375" style="206" customWidth="1"/>
    <col min="8" max="8" width="8.6640625" style="206" customWidth="1"/>
    <col min="9" max="9" width="9.109375" style="206" customWidth="1"/>
    <col min="10" max="10" width="10.44140625" style="206" customWidth="1"/>
    <col min="11" max="11" width="7.33203125" style="206" customWidth="1"/>
    <col min="12" max="12" width="9.109375" style="206"/>
    <col min="13" max="13" width="14.88671875" style="206" customWidth="1"/>
    <col min="14" max="14" width="9.109375" style="206" customWidth="1"/>
    <col min="15" max="15" width="9.5546875" style="206" customWidth="1"/>
    <col min="16" max="16" width="9.6640625" style="206" customWidth="1"/>
    <col min="17" max="17" width="9.109375" style="206" customWidth="1"/>
    <col min="18" max="18" width="7.33203125" style="206" customWidth="1"/>
    <col min="19" max="20" width="9.109375" style="206"/>
    <col min="21" max="21" width="11.44140625" style="206" customWidth="1"/>
    <col min="22" max="22" width="10" style="206" customWidth="1"/>
    <col min="23" max="16384" width="9.109375" style="206"/>
  </cols>
  <sheetData>
    <row r="1" spans="1:26" ht="24" customHeight="1" thickBot="1">
      <c r="A1" s="332"/>
      <c r="B1" s="649" t="s">
        <v>68</v>
      </c>
      <c r="C1" s="650"/>
      <c r="D1" s="650"/>
      <c r="E1" s="650"/>
      <c r="F1" s="650"/>
      <c r="G1" s="650"/>
      <c r="H1" s="650"/>
      <c r="I1" s="650"/>
      <c r="J1" s="650"/>
      <c r="K1" s="650"/>
      <c r="L1" s="650"/>
      <c r="M1" s="650"/>
      <c r="N1" s="650"/>
      <c r="O1" s="650"/>
      <c r="P1" s="650"/>
      <c r="Q1" s="650"/>
      <c r="R1" s="650"/>
      <c r="S1" s="650"/>
      <c r="T1" s="332"/>
    </row>
    <row r="2" spans="1:26" s="77" customFormat="1" ht="15" customHeight="1" thickBot="1">
      <c r="B2" s="638" t="s">
        <v>44</v>
      </c>
      <c r="C2" s="639"/>
      <c r="D2" s="639"/>
      <c r="E2" s="640"/>
      <c r="F2" s="619" t="s">
        <v>45</v>
      </c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1"/>
    </row>
    <row r="3" spans="1:26" ht="15.75" customHeight="1" thickBot="1">
      <c r="B3" s="624" t="s">
        <v>69</v>
      </c>
      <c r="C3" s="633"/>
      <c r="D3" s="633" t="s">
        <v>77</v>
      </c>
      <c r="E3" s="625"/>
      <c r="F3" s="626" t="s">
        <v>47</v>
      </c>
      <c r="G3" s="627"/>
      <c r="H3" s="627"/>
      <c r="I3" s="627"/>
      <c r="J3" s="627"/>
      <c r="K3" s="627"/>
      <c r="L3" s="628"/>
      <c r="M3" s="627" t="s">
        <v>48</v>
      </c>
      <c r="N3" s="627"/>
      <c r="O3" s="627"/>
      <c r="P3" s="627"/>
      <c r="Q3" s="627"/>
      <c r="R3" s="627"/>
      <c r="S3" s="628"/>
      <c r="U3" s="614" t="s">
        <v>109</v>
      </c>
      <c r="V3" s="615"/>
      <c r="W3" s="614" t="s">
        <v>107</v>
      </c>
      <c r="X3" s="615"/>
      <c r="Y3" s="612" t="s">
        <v>108</v>
      </c>
      <c r="Z3" s="615"/>
    </row>
    <row r="4" spans="1:26" ht="24.6" thickBot="1">
      <c r="A4" s="223" t="s">
        <v>70</v>
      </c>
      <c r="B4" s="224" t="s">
        <v>10</v>
      </c>
      <c r="C4" s="225" t="s">
        <v>85</v>
      </c>
      <c r="D4" s="225" t="s">
        <v>75</v>
      </c>
      <c r="E4" s="226" t="s">
        <v>76</v>
      </c>
      <c r="F4" s="218" t="s">
        <v>92</v>
      </c>
      <c r="G4" s="219" t="s">
        <v>93</v>
      </c>
      <c r="H4" s="219" t="s">
        <v>91</v>
      </c>
      <c r="I4" s="219" t="s">
        <v>91</v>
      </c>
      <c r="J4" s="219" t="s">
        <v>94</v>
      </c>
      <c r="K4" s="219" t="s">
        <v>95</v>
      </c>
      <c r="L4" s="220" t="s">
        <v>86</v>
      </c>
      <c r="M4" s="218" t="s">
        <v>92</v>
      </c>
      <c r="N4" s="219" t="s">
        <v>93</v>
      </c>
      <c r="O4" s="219" t="s">
        <v>91</v>
      </c>
      <c r="P4" s="219" t="s">
        <v>91</v>
      </c>
      <c r="Q4" s="219" t="s">
        <v>94</v>
      </c>
      <c r="R4" s="219" t="s">
        <v>95</v>
      </c>
      <c r="S4" s="220" t="s">
        <v>86</v>
      </c>
      <c r="T4" s="540" t="s">
        <v>86</v>
      </c>
      <c r="U4" s="314" t="s">
        <v>104</v>
      </c>
      <c r="V4" s="315" t="s">
        <v>105</v>
      </c>
      <c r="W4" s="314" t="s">
        <v>47</v>
      </c>
      <c r="X4" s="315" t="s">
        <v>48</v>
      </c>
      <c r="Y4" s="318" t="s">
        <v>47</v>
      </c>
      <c r="Z4" s="315" t="s">
        <v>48</v>
      </c>
    </row>
    <row r="5" spans="1:26" ht="12.9" customHeight="1">
      <c r="A5" s="113">
        <f>50*B5</f>
        <v>50</v>
      </c>
      <c r="B5" s="364">
        <v>1</v>
      </c>
      <c r="C5" s="67">
        <f>FORMAT_HAR_I!C5</f>
        <v>2.2999999999999998</v>
      </c>
      <c r="D5" s="383" t="e">
        <f>FORMAT_HAR_I!BX5</f>
        <v>#DIV/0!</v>
      </c>
      <c r="E5" s="380" t="e">
        <f>FORMAT_HAR_I!CA5</f>
        <v>#DIV/0!</v>
      </c>
      <c r="F5" s="293" t="e">
        <f>0.01*FORMAT_HAR_I!AK5*C5*1000</f>
        <v>#DIV/0!</v>
      </c>
      <c r="G5" s="294" t="e">
        <f>F5/10^0.5</f>
        <v>#DIV/0!</v>
      </c>
      <c r="H5" s="294">
        <f>1000*(0.000049*C5+0.0001)</f>
        <v>0.2127</v>
      </c>
      <c r="I5" s="358">
        <f>1000*C5*$H$56*0.01</f>
        <v>5.5554451056394401</v>
      </c>
      <c r="J5" s="296"/>
      <c r="K5" s="294">
        <f>1000*0.0001/2</f>
        <v>0.05</v>
      </c>
      <c r="L5" s="281" t="e">
        <f>2*(G5^2+I5^2/4+J5^2/3+K5^2/3)^0.5</f>
        <v>#DIV/0!</v>
      </c>
      <c r="M5" s="293" t="e">
        <f>0.01*FORMAT_HAR_I!BU5*C5*1000</f>
        <v>#DIV/0!</v>
      </c>
      <c r="N5" s="294" t="e">
        <f>M5/10^0.5</f>
        <v>#DIV/0!</v>
      </c>
      <c r="O5" s="229">
        <f>1000*(0.000049*C5+0.0001)</f>
        <v>0.2127</v>
      </c>
      <c r="P5" s="358">
        <f>1000*C5*$O$56*0.01</f>
        <v>5.5554451056394401</v>
      </c>
      <c r="Q5" s="296"/>
      <c r="R5" s="294">
        <f>1000*0.0001/2</f>
        <v>0.05</v>
      </c>
      <c r="S5" s="551" t="e">
        <f>2*(N5^2+P5^2/4+Q5^2/3+R5^2/3)^0.5</f>
        <v>#DIV/0!</v>
      </c>
      <c r="T5" s="535" t="e">
        <f>IF(S5&gt;L5,S5,L5)</f>
        <v>#DIV/0!</v>
      </c>
      <c r="U5" s="538">
        <f>0.005*C5*1000</f>
        <v>11.5</v>
      </c>
      <c r="V5" s="458">
        <f>0.05*C5*1000</f>
        <v>114.99999999999999</v>
      </c>
      <c r="W5" s="463" t="e">
        <f>IF(ABS(D5)&lt;U5,TRUE,FALSE)</f>
        <v>#DIV/0!</v>
      </c>
      <c r="X5" s="316" t="e">
        <f>IF(ABS(E5)&lt;U5,TRUE,FALSE)</f>
        <v>#DIV/0!</v>
      </c>
      <c r="Y5" s="319" t="e">
        <f>IF(ABS(D5)&lt;V5,TRUE,FALSE)</f>
        <v>#DIV/0!</v>
      </c>
      <c r="Z5" s="316" t="e">
        <f>IF(ABS(E5)&lt;V5,TRUE,FALSE)</f>
        <v>#DIV/0!</v>
      </c>
    </row>
    <row r="6" spans="1:26" ht="12.9" customHeight="1">
      <c r="A6" s="116">
        <f t="shared" ref="A6:A54" si="0">50*B6</f>
        <v>100</v>
      </c>
      <c r="B6" s="365">
        <v>2</v>
      </c>
      <c r="C6" s="44">
        <f>FORMAT_HAR_I!C6</f>
        <v>1.08</v>
      </c>
      <c r="D6" s="383" t="e">
        <f>FORMAT_HAR_I!BX6</f>
        <v>#DIV/0!</v>
      </c>
      <c r="E6" s="380" t="e">
        <f>FORMAT_HAR_I!CA6</f>
        <v>#DIV/0!</v>
      </c>
      <c r="F6" s="286" t="e">
        <f>0.01*FORMAT_HAR_I!AK6*C6*1000</f>
        <v>#DIV/0!</v>
      </c>
      <c r="G6" s="231" t="e">
        <f t="shared" ref="G6:G54" si="1">F6/10^0.5</f>
        <v>#DIV/0!</v>
      </c>
      <c r="H6" s="231">
        <f t="shared" ref="H6:H21" si="2">1000*(0.000064*C6+0.0002)</f>
        <v>0.26912000000000003</v>
      </c>
      <c r="I6" s="358">
        <f>1000*C6*$H$56*0.01</f>
        <v>2.6086437887350415</v>
      </c>
      <c r="J6" s="276"/>
      <c r="K6" s="199">
        <f t="shared" ref="K6:K13" si="3">1000*0.0001/2</f>
        <v>0.05</v>
      </c>
      <c r="L6" s="281" t="e">
        <f t="shared" ref="L6:L44" si="4">2*(G6^2+I6^2/4+J6^2/3+K6^2/3)^0.5</f>
        <v>#DIV/0!</v>
      </c>
      <c r="M6" s="286" t="e">
        <f>0.01*FORMAT_HAR_I!BU6*C6*1000</f>
        <v>#DIV/0!</v>
      </c>
      <c r="N6" s="231" t="e">
        <f t="shared" ref="N6:N44" si="5">M6/10^0.5</f>
        <v>#DIV/0!</v>
      </c>
      <c r="O6" s="231">
        <f t="shared" ref="O6:O21" si="6">1000*(0.000064*C6+0.0002)</f>
        <v>0.26912000000000003</v>
      </c>
      <c r="P6" s="358">
        <f t="shared" ref="P6:P44" si="7">1000*C6*$O$56*0.01</f>
        <v>2.6086437887350415</v>
      </c>
      <c r="Q6" s="276"/>
      <c r="R6" s="199">
        <f t="shared" ref="R6:R13" si="8">1000*0.0001/2</f>
        <v>0.05</v>
      </c>
      <c r="S6" s="551" t="e">
        <f t="shared" ref="S6:S54" si="9">2*(N6^2+P6^2/4+Q6^2/3+R6^2/3)^0.5</f>
        <v>#DIV/0!</v>
      </c>
      <c r="T6" s="541" t="e">
        <f t="shared" ref="T6:T54" si="10">IF(S6&gt;L6,S6,L6)</f>
        <v>#DIV/0!</v>
      </c>
      <c r="U6" s="538">
        <f t="shared" ref="U6:U54" si="11">0.005*C6*1000</f>
        <v>5.4</v>
      </c>
      <c r="V6" s="458">
        <f t="shared" ref="V6:V19" si="12">0.05*C6*1000</f>
        <v>54.000000000000007</v>
      </c>
      <c r="W6" s="463" t="e">
        <f t="shared" ref="W6:W44" si="13">IF(ABS(D6)&lt;U6,TRUE,FALSE)</f>
        <v>#DIV/0!</v>
      </c>
      <c r="X6" s="316" t="e">
        <f t="shared" ref="X6:X44" si="14">IF(ABS(E6)&lt;U6,TRUE,FALSE)</f>
        <v>#DIV/0!</v>
      </c>
      <c r="Y6" s="319" t="e">
        <f t="shared" ref="Y6:Y44" si="15">IF(ABS(D6)&lt;V6,TRUE,FALSE)</f>
        <v>#DIV/0!</v>
      </c>
      <c r="Z6" s="316" t="e">
        <f t="shared" ref="Z6:Z44" si="16">IF(ABS(E6)&lt;V6,TRUE,FALSE)</f>
        <v>#DIV/0!</v>
      </c>
    </row>
    <row r="7" spans="1:26" ht="12.9" customHeight="1">
      <c r="A7" s="116">
        <f t="shared" si="0"/>
        <v>150</v>
      </c>
      <c r="B7" s="365">
        <v>3</v>
      </c>
      <c r="C7" s="44">
        <f>FORMAT_HAR_I!C7</f>
        <v>2.2999999999999998</v>
      </c>
      <c r="D7" s="383" t="e">
        <f>FORMAT_HAR_I!BX7</f>
        <v>#DIV/0!</v>
      </c>
      <c r="E7" s="380" t="e">
        <f>FORMAT_HAR_I!CA7</f>
        <v>#DIV/0!</v>
      </c>
      <c r="F7" s="286" t="e">
        <f>0.01*FORMAT_HAR_I!AK7*C7*1000</f>
        <v>#DIV/0!</v>
      </c>
      <c r="G7" s="231" t="e">
        <f t="shared" si="1"/>
        <v>#DIV/0!</v>
      </c>
      <c r="H7" s="231">
        <f t="shared" si="2"/>
        <v>0.34720000000000001</v>
      </c>
      <c r="I7" s="358">
        <f t="shared" ref="I7:I44" si="17">1000*C7*$H$56*0.01</f>
        <v>5.5554451056394401</v>
      </c>
      <c r="J7" s="276"/>
      <c r="K7" s="199">
        <f t="shared" si="3"/>
        <v>0.05</v>
      </c>
      <c r="L7" s="281" t="e">
        <f t="shared" si="4"/>
        <v>#DIV/0!</v>
      </c>
      <c r="M7" s="286" t="e">
        <f>0.01*FORMAT_HAR_I!BU7*C7*1000</f>
        <v>#DIV/0!</v>
      </c>
      <c r="N7" s="231" t="e">
        <f t="shared" si="5"/>
        <v>#DIV/0!</v>
      </c>
      <c r="O7" s="231">
        <f t="shared" si="6"/>
        <v>0.34720000000000001</v>
      </c>
      <c r="P7" s="358">
        <f t="shared" si="7"/>
        <v>5.5554451056394401</v>
      </c>
      <c r="Q7" s="276"/>
      <c r="R7" s="199">
        <f t="shared" si="8"/>
        <v>0.05</v>
      </c>
      <c r="S7" s="551" t="e">
        <f t="shared" si="9"/>
        <v>#DIV/0!</v>
      </c>
      <c r="T7" s="541" t="e">
        <f t="shared" si="10"/>
        <v>#DIV/0!</v>
      </c>
      <c r="U7" s="538">
        <f t="shared" si="11"/>
        <v>11.5</v>
      </c>
      <c r="V7" s="458">
        <f t="shared" si="12"/>
        <v>114.99999999999999</v>
      </c>
      <c r="W7" s="463" t="e">
        <f t="shared" si="13"/>
        <v>#DIV/0!</v>
      </c>
      <c r="X7" s="316" t="e">
        <f t="shared" si="14"/>
        <v>#DIV/0!</v>
      </c>
      <c r="Y7" s="319" t="e">
        <f t="shared" si="15"/>
        <v>#DIV/0!</v>
      </c>
      <c r="Z7" s="316" t="e">
        <f t="shared" si="16"/>
        <v>#DIV/0!</v>
      </c>
    </row>
    <row r="8" spans="1:26" ht="12.9" customHeight="1">
      <c r="A8" s="116">
        <f t="shared" si="0"/>
        <v>200</v>
      </c>
      <c r="B8" s="365">
        <v>4</v>
      </c>
      <c r="C8" s="44">
        <f>FORMAT_HAR_I!C8</f>
        <v>0.43</v>
      </c>
      <c r="D8" s="383" t="e">
        <f>FORMAT_HAR_I!BX8</f>
        <v>#DIV/0!</v>
      </c>
      <c r="E8" s="380" t="e">
        <f>FORMAT_HAR_I!CA8</f>
        <v>#DIV/0!</v>
      </c>
      <c r="F8" s="286" t="e">
        <f>0.01*FORMAT_HAR_I!AK8*C8*1000</f>
        <v>#DIV/0!</v>
      </c>
      <c r="G8" s="231" t="e">
        <f t="shared" si="1"/>
        <v>#DIV/0!</v>
      </c>
      <c r="H8" s="231">
        <f t="shared" si="2"/>
        <v>0.22752000000000003</v>
      </c>
      <c r="I8" s="358">
        <f t="shared" si="17"/>
        <v>1.0386266936630257</v>
      </c>
      <c r="J8" s="276"/>
      <c r="K8" s="199">
        <f t="shared" si="3"/>
        <v>0.05</v>
      </c>
      <c r="L8" s="281" t="e">
        <f t="shared" si="4"/>
        <v>#DIV/0!</v>
      </c>
      <c r="M8" s="286" t="e">
        <f>0.01*FORMAT_HAR_I!BU8*C8*1000</f>
        <v>#DIV/0!</v>
      </c>
      <c r="N8" s="231" t="e">
        <f t="shared" si="5"/>
        <v>#DIV/0!</v>
      </c>
      <c r="O8" s="231">
        <f t="shared" si="6"/>
        <v>0.22752000000000003</v>
      </c>
      <c r="P8" s="358">
        <f t="shared" si="7"/>
        <v>1.0386266936630257</v>
      </c>
      <c r="Q8" s="276"/>
      <c r="R8" s="199">
        <f t="shared" si="8"/>
        <v>0.05</v>
      </c>
      <c r="S8" s="551" t="e">
        <f t="shared" si="9"/>
        <v>#DIV/0!</v>
      </c>
      <c r="T8" s="541" t="e">
        <f t="shared" si="10"/>
        <v>#DIV/0!</v>
      </c>
      <c r="U8" s="538">
        <f t="shared" si="11"/>
        <v>2.15</v>
      </c>
      <c r="V8" s="458">
        <f t="shared" si="12"/>
        <v>21.5</v>
      </c>
      <c r="W8" s="463" t="e">
        <f t="shared" si="13"/>
        <v>#DIV/0!</v>
      </c>
      <c r="X8" s="316" t="e">
        <f t="shared" si="14"/>
        <v>#DIV/0!</v>
      </c>
      <c r="Y8" s="319" t="e">
        <f t="shared" si="15"/>
        <v>#DIV/0!</v>
      </c>
      <c r="Z8" s="316" t="e">
        <f t="shared" si="16"/>
        <v>#DIV/0!</v>
      </c>
    </row>
    <row r="9" spans="1:26" ht="12.9" customHeight="1">
      <c r="A9" s="116">
        <f t="shared" si="0"/>
        <v>250</v>
      </c>
      <c r="B9" s="365">
        <v>5</v>
      </c>
      <c r="C9" s="44">
        <f>FORMAT_HAR_I!C9</f>
        <v>1.1399999999999999</v>
      </c>
      <c r="D9" s="383" t="e">
        <f>FORMAT_HAR_I!BX9</f>
        <v>#DIV/0!</v>
      </c>
      <c r="E9" s="380" t="e">
        <f>FORMAT_HAR_I!CA9</f>
        <v>#DIV/0!</v>
      </c>
      <c r="F9" s="286" t="e">
        <f>0.01*FORMAT_HAR_I!AK9*C9*1000</f>
        <v>#DIV/0!</v>
      </c>
      <c r="G9" s="231" t="e">
        <f t="shared" si="1"/>
        <v>#DIV/0!</v>
      </c>
      <c r="H9" s="231">
        <f t="shared" si="2"/>
        <v>0.27295999999999998</v>
      </c>
      <c r="I9" s="358">
        <f t="shared" si="17"/>
        <v>2.7535684436647658</v>
      </c>
      <c r="J9" s="276"/>
      <c r="K9" s="199">
        <f t="shared" si="3"/>
        <v>0.05</v>
      </c>
      <c r="L9" s="281" t="e">
        <f t="shared" si="4"/>
        <v>#DIV/0!</v>
      </c>
      <c r="M9" s="286" t="e">
        <f>0.01*FORMAT_HAR_I!BU9*C9*1000</f>
        <v>#DIV/0!</v>
      </c>
      <c r="N9" s="231" t="e">
        <f t="shared" si="5"/>
        <v>#DIV/0!</v>
      </c>
      <c r="O9" s="231">
        <f t="shared" si="6"/>
        <v>0.27295999999999998</v>
      </c>
      <c r="P9" s="358">
        <f t="shared" si="7"/>
        <v>2.7535684436647658</v>
      </c>
      <c r="Q9" s="276"/>
      <c r="R9" s="199">
        <f t="shared" si="8"/>
        <v>0.05</v>
      </c>
      <c r="S9" s="551" t="e">
        <f t="shared" si="9"/>
        <v>#DIV/0!</v>
      </c>
      <c r="T9" s="541" t="e">
        <f t="shared" si="10"/>
        <v>#DIV/0!</v>
      </c>
      <c r="U9" s="538">
        <f t="shared" si="11"/>
        <v>5.6999999999999993</v>
      </c>
      <c r="V9" s="458">
        <f t="shared" si="12"/>
        <v>56.999999999999993</v>
      </c>
      <c r="W9" s="463" t="e">
        <f t="shared" si="13"/>
        <v>#DIV/0!</v>
      </c>
      <c r="X9" s="316" t="e">
        <f t="shared" si="14"/>
        <v>#DIV/0!</v>
      </c>
      <c r="Y9" s="319" t="e">
        <f t="shared" si="15"/>
        <v>#DIV/0!</v>
      </c>
      <c r="Z9" s="316" t="e">
        <f t="shared" si="16"/>
        <v>#DIV/0!</v>
      </c>
    </row>
    <row r="10" spans="1:26" ht="12.9" customHeight="1">
      <c r="A10" s="116">
        <f t="shared" si="0"/>
        <v>300</v>
      </c>
      <c r="B10" s="365">
        <v>6</v>
      </c>
      <c r="C10" s="44">
        <f>FORMAT_HAR_I!C10</f>
        <v>0.3</v>
      </c>
      <c r="D10" s="361" t="e">
        <f>FORMAT_HAR_I!BX10</f>
        <v>#DIV/0!</v>
      </c>
      <c r="E10" s="381" t="e">
        <f>FORMAT_HAR_I!CA10</f>
        <v>#DIV/0!</v>
      </c>
      <c r="F10" s="286" t="e">
        <f>0.01*FORMAT_HAR_I!AK10*C10*1000</f>
        <v>#DIV/0!</v>
      </c>
      <c r="G10" s="231" t="e">
        <f t="shared" si="1"/>
        <v>#DIV/0!</v>
      </c>
      <c r="H10" s="231">
        <f t="shared" si="2"/>
        <v>0.21920000000000001</v>
      </c>
      <c r="I10" s="358">
        <f t="shared" si="17"/>
        <v>0.72462327464862253</v>
      </c>
      <c r="J10" s="276"/>
      <c r="K10" s="199">
        <f>1000*0.00001/2</f>
        <v>5.0000000000000001E-3</v>
      </c>
      <c r="L10" s="282" t="e">
        <f t="shared" si="4"/>
        <v>#DIV/0!</v>
      </c>
      <c r="M10" s="286" t="e">
        <f>0.01*FORMAT_HAR_I!BU10*C10*1000</f>
        <v>#DIV/0!</v>
      </c>
      <c r="N10" s="231" t="e">
        <f t="shared" si="5"/>
        <v>#DIV/0!</v>
      </c>
      <c r="O10" s="231">
        <f t="shared" si="6"/>
        <v>0.21920000000000001</v>
      </c>
      <c r="P10" s="358">
        <f t="shared" si="7"/>
        <v>0.72462327464862253</v>
      </c>
      <c r="Q10" s="276"/>
      <c r="R10" s="199">
        <f>1000*0.00001/2</f>
        <v>5.0000000000000001E-3</v>
      </c>
      <c r="S10" s="552" t="e">
        <f t="shared" si="9"/>
        <v>#DIV/0!</v>
      </c>
      <c r="T10" s="541" t="e">
        <f t="shared" si="10"/>
        <v>#DIV/0!</v>
      </c>
      <c r="U10" s="538">
        <f t="shared" si="11"/>
        <v>1.5</v>
      </c>
      <c r="V10" s="458">
        <f t="shared" si="12"/>
        <v>15</v>
      </c>
      <c r="W10" s="463" t="e">
        <f t="shared" si="13"/>
        <v>#DIV/0!</v>
      </c>
      <c r="X10" s="316" t="e">
        <f t="shared" si="14"/>
        <v>#DIV/0!</v>
      </c>
      <c r="Y10" s="319" t="e">
        <f t="shared" si="15"/>
        <v>#DIV/0!</v>
      </c>
      <c r="Z10" s="316" t="e">
        <f t="shared" si="16"/>
        <v>#DIV/0!</v>
      </c>
    </row>
    <row r="11" spans="1:26" ht="12.9" customHeight="1">
      <c r="A11" s="116">
        <f t="shared" si="0"/>
        <v>350</v>
      </c>
      <c r="B11" s="365">
        <v>7</v>
      </c>
      <c r="C11" s="44">
        <f>FORMAT_HAR_I!C11</f>
        <v>0.77</v>
      </c>
      <c r="D11" s="383" t="e">
        <f>FORMAT_HAR_I!BX11</f>
        <v>#DIV/0!</v>
      </c>
      <c r="E11" s="380" t="e">
        <f>FORMAT_HAR_I!CA11</f>
        <v>#DIV/0!</v>
      </c>
      <c r="F11" s="286" t="e">
        <f>0.01*FORMAT_HAR_I!AK11*C11*1000</f>
        <v>#DIV/0!</v>
      </c>
      <c r="G11" s="231" t="e">
        <f t="shared" si="1"/>
        <v>#DIV/0!</v>
      </c>
      <c r="H11" s="231">
        <f t="shared" si="2"/>
        <v>0.24928</v>
      </c>
      <c r="I11" s="358">
        <f t="shared" si="17"/>
        <v>1.8598664049314646</v>
      </c>
      <c r="J11" s="276"/>
      <c r="K11" s="199">
        <f t="shared" si="3"/>
        <v>0.05</v>
      </c>
      <c r="L11" s="281" t="e">
        <f t="shared" si="4"/>
        <v>#DIV/0!</v>
      </c>
      <c r="M11" s="286" t="e">
        <f>0.01*FORMAT_HAR_I!BU11*C11*1000</f>
        <v>#DIV/0!</v>
      </c>
      <c r="N11" s="231" t="e">
        <f t="shared" si="5"/>
        <v>#DIV/0!</v>
      </c>
      <c r="O11" s="231">
        <f t="shared" si="6"/>
        <v>0.24928</v>
      </c>
      <c r="P11" s="358">
        <f t="shared" si="7"/>
        <v>1.8598664049314646</v>
      </c>
      <c r="Q11" s="276"/>
      <c r="R11" s="199">
        <f t="shared" si="8"/>
        <v>0.05</v>
      </c>
      <c r="S11" s="551" t="e">
        <f t="shared" si="9"/>
        <v>#DIV/0!</v>
      </c>
      <c r="T11" s="541" t="e">
        <f t="shared" si="10"/>
        <v>#DIV/0!</v>
      </c>
      <c r="U11" s="538">
        <f t="shared" si="11"/>
        <v>3.85</v>
      </c>
      <c r="V11" s="458">
        <f t="shared" si="12"/>
        <v>38.500000000000007</v>
      </c>
      <c r="W11" s="463" t="e">
        <f t="shared" si="13"/>
        <v>#DIV/0!</v>
      </c>
      <c r="X11" s="316" t="e">
        <f t="shared" si="14"/>
        <v>#DIV/0!</v>
      </c>
      <c r="Y11" s="319" t="e">
        <f t="shared" si="15"/>
        <v>#DIV/0!</v>
      </c>
      <c r="Z11" s="316" t="e">
        <f t="shared" si="16"/>
        <v>#DIV/0!</v>
      </c>
    </row>
    <row r="12" spans="1:26" ht="12.9" customHeight="1">
      <c r="A12" s="116">
        <f t="shared" si="0"/>
        <v>400</v>
      </c>
      <c r="B12" s="365">
        <v>8</v>
      </c>
      <c r="C12" s="44">
        <f>FORMAT_HAR_I!C12</f>
        <v>0.23</v>
      </c>
      <c r="D12" s="361" t="e">
        <f>FORMAT_HAR_I!BX12</f>
        <v>#DIV/0!</v>
      </c>
      <c r="E12" s="381" t="e">
        <f>FORMAT_HAR_I!CA12</f>
        <v>#DIV/0!</v>
      </c>
      <c r="F12" s="286" t="e">
        <f>0.01*FORMAT_HAR_I!AK12*C12*1000</f>
        <v>#DIV/0!</v>
      </c>
      <c r="G12" s="231" t="e">
        <f t="shared" si="1"/>
        <v>#DIV/0!</v>
      </c>
      <c r="H12" s="231">
        <f t="shared" si="2"/>
        <v>0.21471999999999999</v>
      </c>
      <c r="I12" s="358">
        <f t="shared" si="17"/>
        <v>0.55554451056394405</v>
      </c>
      <c r="J12" s="276"/>
      <c r="K12" s="199">
        <f>1000*0.00001/2</f>
        <v>5.0000000000000001E-3</v>
      </c>
      <c r="L12" s="282" t="e">
        <f t="shared" si="4"/>
        <v>#DIV/0!</v>
      </c>
      <c r="M12" s="286" t="e">
        <f>0.01*FORMAT_HAR_I!BU12*C12*1000</f>
        <v>#DIV/0!</v>
      </c>
      <c r="N12" s="231" t="e">
        <f t="shared" si="5"/>
        <v>#DIV/0!</v>
      </c>
      <c r="O12" s="231">
        <f t="shared" si="6"/>
        <v>0.21471999999999999</v>
      </c>
      <c r="P12" s="358">
        <f t="shared" si="7"/>
        <v>0.55554451056394405</v>
      </c>
      <c r="Q12" s="276"/>
      <c r="R12" s="199">
        <f>1000*0.00001/2</f>
        <v>5.0000000000000001E-3</v>
      </c>
      <c r="S12" s="552" t="e">
        <f t="shared" si="9"/>
        <v>#DIV/0!</v>
      </c>
      <c r="T12" s="541" t="e">
        <f t="shared" si="10"/>
        <v>#DIV/0!</v>
      </c>
      <c r="U12" s="538">
        <f t="shared" si="11"/>
        <v>1.1499999999999999</v>
      </c>
      <c r="V12" s="458">
        <f t="shared" si="12"/>
        <v>11.500000000000002</v>
      </c>
      <c r="W12" s="463" t="e">
        <f t="shared" si="13"/>
        <v>#DIV/0!</v>
      </c>
      <c r="X12" s="316" t="e">
        <f t="shared" si="14"/>
        <v>#DIV/0!</v>
      </c>
      <c r="Y12" s="319" t="e">
        <f t="shared" si="15"/>
        <v>#DIV/0!</v>
      </c>
      <c r="Z12" s="316" t="e">
        <f t="shared" si="16"/>
        <v>#DIV/0!</v>
      </c>
    </row>
    <row r="13" spans="1:26" ht="12.9" customHeight="1">
      <c r="A13" s="116">
        <f t="shared" si="0"/>
        <v>450</v>
      </c>
      <c r="B13" s="365">
        <v>9</v>
      </c>
      <c r="C13" s="44">
        <f>FORMAT_HAR_I!C13</f>
        <v>0.4</v>
      </c>
      <c r="D13" s="383" t="e">
        <f>FORMAT_HAR_I!BX13</f>
        <v>#DIV/0!</v>
      </c>
      <c r="E13" s="380" t="e">
        <f>FORMAT_HAR_I!CA13</f>
        <v>#DIV/0!</v>
      </c>
      <c r="F13" s="286" t="e">
        <f>0.01*FORMAT_HAR_I!AK13*C13*1000</f>
        <v>#DIV/0!</v>
      </c>
      <c r="G13" s="231" t="e">
        <f t="shared" si="1"/>
        <v>#DIV/0!</v>
      </c>
      <c r="H13" s="231">
        <f t="shared" si="2"/>
        <v>0.22559999999999999</v>
      </c>
      <c r="I13" s="358">
        <f t="shared" si="17"/>
        <v>0.96616436619816359</v>
      </c>
      <c r="J13" s="276"/>
      <c r="K13" s="199">
        <f t="shared" si="3"/>
        <v>0.05</v>
      </c>
      <c r="L13" s="281" t="e">
        <f t="shared" si="4"/>
        <v>#DIV/0!</v>
      </c>
      <c r="M13" s="286" t="e">
        <f>0.01*FORMAT_HAR_I!BU13*C13*1000</f>
        <v>#DIV/0!</v>
      </c>
      <c r="N13" s="231" t="e">
        <f t="shared" si="5"/>
        <v>#DIV/0!</v>
      </c>
      <c r="O13" s="231">
        <f t="shared" si="6"/>
        <v>0.22559999999999999</v>
      </c>
      <c r="P13" s="358">
        <f t="shared" si="7"/>
        <v>0.96616436619816359</v>
      </c>
      <c r="Q13" s="276"/>
      <c r="R13" s="199">
        <f t="shared" si="8"/>
        <v>0.05</v>
      </c>
      <c r="S13" s="551" t="e">
        <f t="shared" si="9"/>
        <v>#DIV/0!</v>
      </c>
      <c r="T13" s="541" t="e">
        <f t="shared" si="10"/>
        <v>#DIV/0!</v>
      </c>
      <c r="U13" s="538">
        <f t="shared" si="11"/>
        <v>2</v>
      </c>
      <c r="V13" s="458">
        <f t="shared" si="12"/>
        <v>20.000000000000004</v>
      </c>
      <c r="W13" s="463" t="e">
        <f t="shared" si="13"/>
        <v>#DIV/0!</v>
      </c>
      <c r="X13" s="316" t="e">
        <f t="shared" si="14"/>
        <v>#DIV/0!</v>
      </c>
      <c r="Y13" s="319" t="e">
        <f t="shared" si="15"/>
        <v>#DIV/0!</v>
      </c>
      <c r="Z13" s="316" t="e">
        <f t="shared" si="16"/>
        <v>#DIV/0!</v>
      </c>
    </row>
    <row r="14" spans="1:26" ht="12.9" customHeight="1">
      <c r="A14" s="116">
        <f t="shared" si="0"/>
        <v>500</v>
      </c>
      <c r="B14" s="365">
        <v>10</v>
      </c>
      <c r="C14" s="44">
        <f>FORMAT_HAR_I!C14</f>
        <v>0.184</v>
      </c>
      <c r="D14" s="361" t="e">
        <f>FORMAT_HAR_I!BX14</f>
        <v>#DIV/0!</v>
      </c>
      <c r="E14" s="381" t="e">
        <f>FORMAT_HAR_I!CA14</f>
        <v>#DIV/0!</v>
      </c>
      <c r="F14" s="286" t="e">
        <f>0.01*FORMAT_HAR_I!AK14*C14*1000</f>
        <v>#DIV/0!</v>
      </c>
      <c r="G14" s="231" t="e">
        <f t="shared" si="1"/>
        <v>#DIV/0!</v>
      </c>
      <c r="H14" s="231">
        <f t="shared" si="2"/>
        <v>0.21177599999999999</v>
      </c>
      <c r="I14" s="358">
        <f t="shared" si="17"/>
        <v>0.44443560845115521</v>
      </c>
      <c r="J14" s="276"/>
      <c r="K14" s="199">
        <f>1000*0.00001/2</f>
        <v>5.0000000000000001E-3</v>
      </c>
      <c r="L14" s="282" t="e">
        <f t="shared" si="4"/>
        <v>#DIV/0!</v>
      </c>
      <c r="M14" s="286" t="e">
        <f>0.01*FORMAT_HAR_I!BU14*C14*1000</f>
        <v>#DIV/0!</v>
      </c>
      <c r="N14" s="231" t="e">
        <f t="shared" si="5"/>
        <v>#DIV/0!</v>
      </c>
      <c r="O14" s="231">
        <f t="shared" si="6"/>
        <v>0.21177599999999999</v>
      </c>
      <c r="P14" s="358">
        <f t="shared" si="7"/>
        <v>0.44443560845115521</v>
      </c>
      <c r="Q14" s="276"/>
      <c r="R14" s="199">
        <f>1000*0.00001/2</f>
        <v>5.0000000000000001E-3</v>
      </c>
      <c r="S14" s="552" t="e">
        <f t="shared" si="9"/>
        <v>#DIV/0!</v>
      </c>
      <c r="T14" s="541" t="e">
        <f t="shared" si="10"/>
        <v>#DIV/0!</v>
      </c>
      <c r="U14" s="538">
        <f t="shared" si="11"/>
        <v>0.92</v>
      </c>
      <c r="V14" s="458">
        <f t="shared" si="12"/>
        <v>9.1999999999999993</v>
      </c>
      <c r="W14" s="463" t="e">
        <f t="shared" si="13"/>
        <v>#DIV/0!</v>
      </c>
      <c r="X14" s="316" t="e">
        <f t="shared" si="14"/>
        <v>#DIV/0!</v>
      </c>
      <c r="Y14" s="319" t="e">
        <f t="shared" si="15"/>
        <v>#DIV/0!</v>
      </c>
      <c r="Z14" s="316" t="e">
        <f t="shared" si="16"/>
        <v>#DIV/0!</v>
      </c>
    </row>
    <row r="15" spans="1:26" ht="12.9" customHeight="1">
      <c r="A15" s="116">
        <f t="shared" si="0"/>
        <v>550</v>
      </c>
      <c r="B15" s="365">
        <v>11</v>
      </c>
      <c r="C15" s="44">
        <f>FORMAT_HAR_I!C15</f>
        <v>0.33</v>
      </c>
      <c r="D15" s="361" t="e">
        <f>FORMAT_HAR_I!BX15</f>
        <v>#DIV/0!</v>
      </c>
      <c r="E15" s="381" t="e">
        <f>FORMAT_HAR_I!CA15</f>
        <v>#DIV/0!</v>
      </c>
      <c r="F15" s="286" t="e">
        <f>0.01*FORMAT_HAR_I!AK15*C15*1000</f>
        <v>#DIV/0!</v>
      </c>
      <c r="G15" s="231" t="e">
        <f t="shared" si="1"/>
        <v>#DIV/0!</v>
      </c>
      <c r="H15" s="231">
        <f t="shared" si="2"/>
        <v>0.22111999999999998</v>
      </c>
      <c r="I15" s="358">
        <f t="shared" si="17"/>
        <v>0.79708560211348489</v>
      </c>
      <c r="J15" s="276"/>
      <c r="K15" s="199">
        <f t="shared" ref="K15:K44" si="18">1000*0.00001/2</f>
        <v>5.0000000000000001E-3</v>
      </c>
      <c r="L15" s="282" t="e">
        <f t="shared" si="4"/>
        <v>#DIV/0!</v>
      </c>
      <c r="M15" s="286" t="e">
        <f>0.01*FORMAT_HAR_I!BU15*C15*1000</f>
        <v>#DIV/0!</v>
      </c>
      <c r="N15" s="231" t="e">
        <f t="shared" si="5"/>
        <v>#DIV/0!</v>
      </c>
      <c r="O15" s="231">
        <f t="shared" si="6"/>
        <v>0.22111999999999998</v>
      </c>
      <c r="P15" s="358">
        <f t="shared" si="7"/>
        <v>0.79708560211348489</v>
      </c>
      <c r="Q15" s="276"/>
      <c r="R15" s="199">
        <f t="shared" ref="R15:R44" si="19">1000*0.00001/2</f>
        <v>5.0000000000000001E-3</v>
      </c>
      <c r="S15" s="552" t="e">
        <f t="shared" si="9"/>
        <v>#DIV/0!</v>
      </c>
      <c r="T15" s="541" t="e">
        <f t="shared" si="10"/>
        <v>#DIV/0!</v>
      </c>
      <c r="U15" s="538">
        <f t="shared" si="11"/>
        <v>1.6500000000000001</v>
      </c>
      <c r="V15" s="458">
        <f t="shared" si="12"/>
        <v>16.5</v>
      </c>
      <c r="W15" s="463" t="e">
        <f t="shared" si="13"/>
        <v>#DIV/0!</v>
      </c>
      <c r="X15" s="316" t="e">
        <f t="shared" si="14"/>
        <v>#DIV/0!</v>
      </c>
      <c r="Y15" s="319" t="e">
        <f t="shared" si="15"/>
        <v>#DIV/0!</v>
      </c>
      <c r="Z15" s="316" t="e">
        <f t="shared" si="16"/>
        <v>#DIV/0!</v>
      </c>
    </row>
    <row r="16" spans="1:26" ht="12.9" customHeight="1">
      <c r="A16" s="116">
        <f t="shared" si="0"/>
        <v>600</v>
      </c>
      <c r="B16" s="365">
        <v>12</v>
      </c>
      <c r="C16" s="44">
        <f>FORMAT_HAR_I!C16</f>
        <v>0.15332999999999999</v>
      </c>
      <c r="D16" s="361" t="e">
        <f>FORMAT_HAR_I!BX16</f>
        <v>#DIV/0!</v>
      </c>
      <c r="E16" s="381" t="e">
        <f>FORMAT_HAR_I!CA16</f>
        <v>#DIV/0!</v>
      </c>
      <c r="F16" s="286" t="e">
        <f>0.01*FORMAT_HAR_I!AK16*C16*1000</f>
        <v>#DIV/0!</v>
      </c>
      <c r="G16" s="231" t="e">
        <f t="shared" si="1"/>
        <v>#DIV/0!</v>
      </c>
      <c r="H16" s="231">
        <f t="shared" si="2"/>
        <v>0.20981311999999999</v>
      </c>
      <c r="I16" s="358">
        <f t="shared" si="17"/>
        <v>0.37035495567291099</v>
      </c>
      <c r="J16" s="276"/>
      <c r="K16" s="199">
        <f t="shared" si="18"/>
        <v>5.0000000000000001E-3</v>
      </c>
      <c r="L16" s="282" t="e">
        <f t="shared" si="4"/>
        <v>#DIV/0!</v>
      </c>
      <c r="M16" s="286" t="e">
        <f>0.01*FORMAT_HAR_I!BU16*C16*1000</f>
        <v>#DIV/0!</v>
      </c>
      <c r="N16" s="231" t="e">
        <f t="shared" si="5"/>
        <v>#DIV/0!</v>
      </c>
      <c r="O16" s="231">
        <f t="shared" si="6"/>
        <v>0.20981311999999999</v>
      </c>
      <c r="P16" s="358">
        <f t="shared" si="7"/>
        <v>0.37035495567291099</v>
      </c>
      <c r="Q16" s="276"/>
      <c r="R16" s="199">
        <f t="shared" si="19"/>
        <v>5.0000000000000001E-3</v>
      </c>
      <c r="S16" s="552" t="e">
        <f t="shared" si="9"/>
        <v>#DIV/0!</v>
      </c>
      <c r="T16" s="541" t="e">
        <f t="shared" si="10"/>
        <v>#DIV/0!</v>
      </c>
      <c r="U16" s="538">
        <f t="shared" si="11"/>
        <v>0.76665000000000005</v>
      </c>
      <c r="V16" s="458">
        <f t="shared" si="12"/>
        <v>7.6665000000000001</v>
      </c>
      <c r="W16" s="463" t="e">
        <f t="shared" si="13"/>
        <v>#DIV/0!</v>
      </c>
      <c r="X16" s="316" t="e">
        <f t="shared" si="14"/>
        <v>#DIV/0!</v>
      </c>
      <c r="Y16" s="319" t="e">
        <f t="shared" si="15"/>
        <v>#DIV/0!</v>
      </c>
      <c r="Z16" s="316" t="e">
        <f t="shared" si="16"/>
        <v>#DIV/0!</v>
      </c>
    </row>
    <row r="17" spans="1:26" ht="12.9" customHeight="1">
      <c r="A17" s="116">
        <f t="shared" si="0"/>
        <v>650</v>
      </c>
      <c r="B17" s="365">
        <v>13</v>
      </c>
      <c r="C17" s="44">
        <f>FORMAT_HAR_I!C17</f>
        <v>0.21</v>
      </c>
      <c r="D17" s="361" t="e">
        <f>FORMAT_HAR_I!BX17</f>
        <v>#DIV/0!</v>
      </c>
      <c r="E17" s="381" t="e">
        <f>FORMAT_HAR_I!CA17</f>
        <v>#DIV/0!</v>
      </c>
      <c r="F17" s="286" t="e">
        <f>0.01*FORMAT_HAR_I!AK17*C17*1000</f>
        <v>#DIV/0!</v>
      </c>
      <c r="G17" s="231" t="e">
        <f t="shared" si="1"/>
        <v>#DIV/0!</v>
      </c>
      <c r="H17" s="231">
        <f t="shared" si="2"/>
        <v>0.21344000000000002</v>
      </c>
      <c r="I17" s="358">
        <f t="shared" si="17"/>
        <v>0.50723629225403588</v>
      </c>
      <c r="J17" s="276"/>
      <c r="K17" s="199">
        <f t="shared" si="18"/>
        <v>5.0000000000000001E-3</v>
      </c>
      <c r="L17" s="282" t="e">
        <f t="shared" si="4"/>
        <v>#DIV/0!</v>
      </c>
      <c r="M17" s="286" t="e">
        <f>0.01*FORMAT_HAR_I!BU17*C17*1000</f>
        <v>#DIV/0!</v>
      </c>
      <c r="N17" s="231" t="e">
        <f t="shared" si="5"/>
        <v>#DIV/0!</v>
      </c>
      <c r="O17" s="231">
        <f t="shared" si="6"/>
        <v>0.21344000000000002</v>
      </c>
      <c r="P17" s="358">
        <f t="shared" si="7"/>
        <v>0.50723629225403588</v>
      </c>
      <c r="Q17" s="276"/>
      <c r="R17" s="199">
        <f t="shared" si="19"/>
        <v>5.0000000000000001E-3</v>
      </c>
      <c r="S17" s="552" t="e">
        <f t="shared" si="9"/>
        <v>#DIV/0!</v>
      </c>
      <c r="T17" s="541" t="e">
        <f t="shared" si="10"/>
        <v>#DIV/0!</v>
      </c>
      <c r="U17" s="538">
        <f t="shared" si="11"/>
        <v>1.05</v>
      </c>
      <c r="V17" s="458">
        <f t="shared" si="12"/>
        <v>10.5</v>
      </c>
      <c r="W17" s="463" t="e">
        <f t="shared" si="13"/>
        <v>#DIV/0!</v>
      </c>
      <c r="X17" s="316" t="e">
        <f t="shared" si="14"/>
        <v>#DIV/0!</v>
      </c>
      <c r="Y17" s="319" t="e">
        <f t="shared" si="15"/>
        <v>#DIV/0!</v>
      </c>
      <c r="Z17" s="316" t="e">
        <f t="shared" si="16"/>
        <v>#DIV/0!</v>
      </c>
    </row>
    <row r="18" spans="1:26" ht="12.9" customHeight="1">
      <c r="A18" s="116">
        <f t="shared" si="0"/>
        <v>700</v>
      </c>
      <c r="B18" s="365">
        <v>14</v>
      </c>
      <c r="C18" s="44">
        <f>FORMAT_HAR_I!C18</f>
        <v>0.13142999999999999</v>
      </c>
      <c r="D18" s="361" t="e">
        <f>FORMAT_HAR_I!BX18</f>
        <v>#DIV/0!</v>
      </c>
      <c r="E18" s="381" t="e">
        <f>FORMAT_HAR_I!CA18</f>
        <v>#DIV/0!</v>
      </c>
      <c r="F18" s="286" t="e">
        <f>0.01*FORMAT_HAR_I!AK18*C18*1000</f>
        <v>#DIV/0!</v>
      </c>
      <c r="G18" s="231" t="e">
        <f t="shared" si="1"/>
        <v>#DIV/0!</v>
      </c>
      <c r="H18" s="231">
        <f t="shared" si="2"/>
        <v>0.20841152000000002</v>
      </c>
      <c r="I18" s="358">
        <f t="shared" si="17"/>
        <v>0.31745745662356151</v>
      </c>
      <c r="J18" s="276"/>
      <c r="K18" s="199">
        <f t="shared" si="18"/>
        <v>5.0000000000000001E-3</v>
      </c>
      <c r="L18" s="282" t="e">
        <f t="shared" si="4"/>
        <v>#DIV/0!</v>
      </c>
      <c r="M18" s="286" t="e">
        <f>0.01*FORMAT_HAR_I!BU18*C18*1000</f>
        <v>#DIV/0!</v>
      </c>
      <c r="N18" s="231" t="e">
        <f t="shared" si="5"/>
        <v>#DIV/0!</v>
      </c>
      <c r="O18" s="231">
        <f t="shared" si="6"/>
        <v>0.20841152000000002</v>
      </c>
      <c r="P18" s="358">
        <f t="shared" si="7"/>
        <v>0.31745745662356151</v>
      </c>
      <c r="Q18" s="276"/>
      <c r="R18" s="199">
        <f t="shared" si="19"/>
        <v>5.0000000000000001E-3</v>
      </c>
      <c r="S18" s="552" t="e">
        <f t="shared" si="9"/>
        <v>#DIV/0!</v>
      </c>
      <c r="T18" s="541" t="e">
        <f t="shared" si="10"/>
        <v>#DIV/0!</v>
      </c>
      <c r="U18" s="538">
        <f t="shared" si="11"/>
        <v>0.65715000000000001</v>
      </c>
      <c r="V18" s="458">
        <f>0.0015*5*1000</f>
        <v>7.5</v>
      </c>
      <c r="W18" s="463" t="e">
        <f t="shared" si="13"/>
        <v>#DIV/0!</v>
      </c>
      <c r="X18" s="316" t="e">
        <f t="shared" si="14"/>
        <v>#DIV/0!</v>
      </c>
      <c r="Y18" s="319" t="e">
        <f t="shared" si="15"/>
        <v>#DIV/0!</v>
      </c>
      <c r="Z18" s="316" t="e">
        <f t="shared" si="16"/>
        <v>#DIV/0!</v>
      </c>
    </row>
    <row r="19" spans="1:26" ht="12.9" customHeight="1">
      <c r="A19" s="116">
        <f t="shared" si="0"/>
        <v>750</v>
      </c>
      <c r="B19" s="365">
        <v>15</v>
      </c>
      <c r="C19" s="44">
        <f>FORMAT_HAR_I!C19</f>
        <v>0.15</v>
      </c>
      <c r="D19" s="361" t="e">
        <f>FORMAT_HAR_I!BX19</f>
        <v>#DIV/0!</v>
      </c>
      <c r="E19" s="381" t="e">
        <f>FORMAT_HAR_I!CA19</f>
        <v>#DIV/0!</v>
      </c>
      <c r="F19" s="286" t="e">
        <f>0.01*FORMAT_HAR_I!AK19*C19*1000</f>
        <v>#DIV/0!</v>
      </c>
      <c r="G19" s="231" t="e">
        <f t="shared" si="1"/>
        <v>#DIV/0!</v>
      </c>
      <c r="H19" s="231">
        <f t="shared" si="2"/>
        <v>0.20960000000000001</v>
      </c>
      <c r="I19" s="358">
        <f t="shared" si="17"/>
        <v>0.36231163732431126</v>
      </c>
      <c r="J19" s="276"/>
      <c r="K19" s="199">
        <f t="shared" si="18"/>
        <v>5.0000000000000001E-3</v>
      </c>
      <c r="L19" s="282" t="e">
        <f t="shared" si="4"/>
        <v>#DIV/0!</v>
      </c>
      <c r="M19" s="286" t="e">
        <f>0.01*FORMAT_HAR_I!BU19*C19*1000</f>
        <v>#DIV/0!</v>
      </c>
      <c r="N19" s="231" t="e">
        <f t="shared" si="5"/>
        <v>#DIV/0!</v>
      </c>
      <c r="O19" s="231">
        <f t="shared" si="6"/>
        <v>0.20960000000000001</v>
      </c>
      <c r="P19" s="358">
        <f t="shared" si="7"/>
        <v>0.36231163732431126</v>
      </c>
      <c r="Q19" s="276"/>
      <c r="R19" s="199">
        <f t="shared" si="19"/>
        <v>5.0000000000000001E-3</v>
      </c>
      <c r="S19" s="552" t="e">
        <f t="shared" si="9"/>
        <v>#DIV/0!</v>
      </c>
      <c r="T19" s="541" t="e">
        <f t="shared" si="10"/>
        <v>#DIV/0!</v>
      </c>
      <c r="U19" s="538">
        <f t="shared" si="11"/>
        <v>0.75</v>
      </c>
      <c r="V19" s="458">
        <f t="shared" si="12"/>
        <v>7.5</v>
      </c>
      <c r="W19" s="463" t="e">
        <f t="shared" si="13"/>
        <v>#DIV/0!</v>
      </c>
      <c r="X19" s="316" t="e">
        <f t="shared" si="14"/>
        <v>#DIV/0!</v>
      </c>
      <c r="Y19" s="319" t="e">
        <f t="shared" si="15"/>
        <v>#DIV/0!</v>
      </c>
      <c r="Z19" s="316" t="e">
        <f t="shared" si="16"/>
        <v>#DIV/0!</v>
      </c>
    </row>
    <row r="20" spans="1:26" ht="12.9" customHeight="1">
      <c r="A20" s="116">
        <f t="shared" si="0"/>
        <v>800</v>
      </c>
      <c r="B20" s="365">
        <v>16</v>
      </c>
      <c r="C20" s="44">
        <f>FORMAT_HAR_I!C20</f>
        <v>0.115</v>
      </c>
      <c r="D20" s="361" t="e">
        <f>FORMAT_HAR_I!BX20</f>
        <v>#DIV/0!</v>
      </c>
      <c r="E20" s="381" t="e">
        <f>FORMAT_HAR_I!CA20</f>
        <v>#DIV/0!</v>
      </c>
      <c r="F20" s="286" t="e">
        <f>0.01*FORMAT_HAR_I!AK20*C20*1000</f>
        <v>#DIV/0!</v>
      </c>
      <c r="G20" s="231" t="e">
        <f t="shared" si="1"/>
        <v>#DIV/0!</v>
      </c>
      <c r="H20" s="231">
        <f t="shared" si="2"/>
        <v>0.20736000000000002</v>
      </c>
      <c r="I20" s="358">
        <f t="shared" si="17"/>
        <v>0.27777225528197202</v>
      </c>
      <c r="J20" s="276"/>
      <c r="K20" s="199">
        <f t="shared" si="18"/>
        <v>5.0000000000000001E-3</v>
      </c>
      <c r="L20" s="282" t="e">
        <f t="shared" si="4"/>
        <v>#DIV/0!</v>
      </c>
      <c r="M20" s="286" t="e">
        <f>0.01*FORMAT_HAR_I!BU20*C20*1000</f>
        <v>#DIV/0!</v>
      </c>
      <c r="N20" s="231" t="e">
        <f t="shared" si="5"/>
        <v>#DIV/0!</v>
      </c>
      <c r="O20" s="231">
        <f t="shared" si="6"/>
        <v>0.20736000000000002</v>
      </c>
      <c r="P20" s="358">
        <f t="shared" si="7"/>
        <v>0.27777225528197202</v>
      </c>
      <c r="Q20" s="276"/>
      <c r="R20" s="199">
        <f t="shared" si="19"/>
        <v>5.0000000000000001E-3</v>
      </c>
      <c r="S20" s="552" t="e">
        <f t="shared" si="9"/>
        <v>#DIV/0!</v>
      </c>
      <c r="T20" s="541" t="e">
        <f t="shared" si="10"/>
        <v>#DIV/0!</v>
      </c>
      <c r="U20" s="538">
        <f t="shared" si="11"/>
        <v>0.57499999999999996</v>
      </c>
      <c r="V20" s="458">
        <f>0.0015*5*1000</f>
        <v>7.5</v>
      </c>
      <c r="W20" s="463" t="e">
        <f t="shared" si="13"/>
        <v>#DIV/0!</v>
      </c>
      <c r="X20" s="316" t="e">
        <f t="shared" si="14"/>
        <v>#DIV/0!</v>
      </c>
      <c r="Y20" s="319" t="e">
        <f t="shared" si="15"/>
        <v>#DIV/0!</v>
      </c>
      <c r="Z20" s="316" t="e">
        <f t="shared" si="16"/>
        <v>#DIV/0!</v>
      </c>
    </row>
    <row r="21" spans="1:26" ht="12.9" customHeight="1">
      <c r="A21" s="116">
        <f t="shared" si="0"/>
        <v>850</v>
      </c>
      <c r="B21" s="365">
        <v>17</v>
      </c>
      <c r="C21" s="44">
        <f>FORMAT_HAR_I!C21</f>
        <v>0.13235</v>
      </c>
      <c r="D21" s="361" t="e">
        <f>FORMAT_HAR_I!BX21</f>
        <v>#DIV/0!</v>
      </c>
      <c r="E21" s="381" t="e">
        <f>FORMAT_HAR_I!CA21</f>
        <v>#DIV/0!</v>
      </c>
      <c r="F21" s="286" t="e">
        <f>0.01*FORMAT_HAR_I!AK21*C21*1000</f>
        <v>#DIV/0!</v>
      </c>
      <c r="G21" s="231" t="e">
        <f t="shared" si="1"/>
        <v>#DIV/0!</v>
      </c>
      <c r="H21" s="231">
        <f t="shared" si="2"/>
        <v>0.20847040000000003</v>
      </c>
      <c r="I21" s="358">
        <f t="shared" si="17"/>
        <v>0.31967963466581734</v>
      </c>
      <c r="J21" s="276"/>
      <c r="K21" s="199">
        <f t="shared" si="18"/>
        <v>5.0000000000000001E-3</v>
      </c>
      <c r="L21" s="282" t="e">
        <f t="shared" si="4"/>
        <v>#DIV/0!</v>
      </c>
      <c r="M21" s="286" t="e">
        <f>0.01*FORMAT_HAR_I!BU21*C21*1000</f>
        <v>#DIV/0!</v>
      </c>
      <c r="N21" s="231" t="e">
        <f t="shared" si="5"/>
        <v>#DIV/0!</v>
      </c>
      <c r="O21" s="231">
        <f t="shared" si="6"/>
        <v>0.20847040000000003</v>
      </c>
      <c r="P21" s="358">
        <f t="shared" si="7"/>
        <v>0.31967963466581734</v>
      </c>
      <c r="Q21" s="276"/>
      <c r="R21" s="199">
        <f t="shared" si="19"/>
        <v>5.0000000000000001E-3</v>
      </c>
      <c r="S21" s="552" t="e">
        <f t="shared" si="9"/>
        <v>#DIV/0!</v>
      </c>
      <c r="T21" s="541" t="e">
        <f t="shared" si="10"/>
        <v>#DIV/0!</v>
      </c>
      <c r="U21" s="538">
        <f t="shared" si="11"/>
        <v>0.66175000000000006</v>
      </c>
      <c r="V21" s="458">
        <f t="shared" ref="V21:V44" si="20">0.0015*5*1000</f>
        <v>7.5</v>
      </c>
      <c r="W21" s="463" t="e">
        <f t="shared" si="13"/>
        <v>#DIV/0!</v>
      </c>
      <c r="X21" s="316" t="e">
        <f t="shared" si="14"/>
        <v>#DIV/0!</v>
      </c>
      <c r="Y21" s="319" t="e">
        <f t="shared" si="15"/>
        <v>#DIV/0!</v>
      </c>
      <c r="Z21" s="316" t="e">
        <f t="shared" si="16"/>
        <v>#DIV/0!</v>
      </c>
    </row>
    <row r="22" spans="1:26" ht="12.9" customHeight="1">
      <c r="A22" s="116">
        <f t="shared" si="0"/>
        <v>900</v>
      </c>
      <c r="B22" s="365">
        <v>18</v>
      </c>
      <c r="C22" s="44">
        <f>FORMAT_HAR_I!C22</f>
        <v>0.10222000000000001</v>
      </c>
      <c r="D22" s="361" t="e">
        <f>FORMAT_HAR_I!BX22</f>
        <v>#DIV/0!</v>
      </c>
      <c r="E22" s="381" t="e">
        <f>FORMAT_HAR_I!CA22</f>
        <v>#DIV/0!</v>
      </c>
      <c r="F22" s="286" t="e">
        <f>0.01*FORMAT_HAR_I!AK22*C22*1000</f>
        <v>#DIV/0!</v>
      </c>
      <c r="G22" s="231" t="e">
        <f t="shared" si="1"/>
        <v>#DIV/0!</v>
      </c>
      <c r="H22" s="231">
        <f t="shared" ref="H22:H44" si="21">1000*(0.0004*C22+0.0002)</f>
        <v>0.24088800000000002</v>
      </c>
      <c r="I22" s="358">
        <f t="shared" si="17"/>
        <v>0.2469033037819407</v>
      </c>
      <c r="J22" s="276"/>
      <c r="K22" s="199">
        <f t="shared" si="18"/>
        <v>5.0000000000000001E-3</v>
      </c>
      <c r="L22" s="282" t="e">
        <f t="shared" si="4"/>
        <v>#DIV/0!</v>
      </c>
      <c r="M22" s="286" t="e">
        <f>0.01*FORMAT_HAR_I!BU22*C22*1000</f>
        <v>#DIV/0!</v>
      </c>
      <c r="N22" s="231" t="e">
        <f t="shared" si="5"/>
        <v>#DIV/0!</v>
      </c>
      <c r="O22" s="231">
        <f t="shared" ref="O22:O44" si="22">1000*(0.0004*C22+0.0002)</f>
        <v>0.24088800000000002</v>
      </c>
      <c r="P22" s="358">
        <f t="shared" si="7"/>
        <v>0.2469033037819407</v>
      </c>
      <c r="Q22" s="276"/>
      <c r="R22" s="199">
        <f t="shared" si="19"/>
        <v>5.0000000000000001E-3</v>
      </c>
      <c r="S22" s="552" t="e">
        <f t="shared" si="9"/>
        <v>#DIV/0!</v>
      </c>
      <c r="T22" s="541" t="e">
        <f t="shared" si="10"/>
        <v>#DIV/0!</v>
      </c>
      <c r="U22" s="538">
        <f t="shared" si="11"/>
        <v>0.5111</v>
      </c>
      <c r="V22" s="458">
        <f t="shared" si="20"/>
        <v>7.5</v>
      </c>
      <c r="W22" s="463" t="e">
        <f t="shared" si="13"/>
        <v>#DIV/0!</v>
      </c>
      <c r="X22" s="316" t="e">
        <f t="shared" si="14"/>
        <v>#DIV/0!</v>
      </c>
      <c r="Y22" s="319" t="e">
        <f t="shared" si="15"/>
        <v>#DIV/0!</v>
      </c>
      <c r="Z22" s="316" t="e">
        <f t="shared" si="16"/>
        <v>#DIV/0!</v>
      </c>
    </row>
    <row r="23" spans="1:26" ht="12.9" customHeight="1">
      <c r="A23" s="116">
        <f t="shared" si="0"/>
        <v>950</v>
      </c>
      <c r="B23" s="365">
        <v>19</v>
      </c>
      <c r="C23" s="44">
        <f>FORMAT_HAR_I!C23</f>
        <v>0.11842</v>
      </c>
      <c r="D23" s="361" t="e">
        <f>FORMAT_HAR_I!BX23</f>
        <v>#DIV/0!</v>
      </c>
      <c r="E23" s="381" t="e">
        <f>FORMAT_HAR_I!CA23</f>
        <v>#DIV/0!</v>
      </c>
      <c r="F23" s="286" t="e">
        <f>0.01*FORMAT_HAR_I!AK23*C23*1000</f>
        <v>#DIV/0!</v>
      </c>
      <c r="G23" s="231" t="e">
        <f t="shared" si="1"/>
        <v>#DIV/0!</v>
      </c>
      <c r="H23" s="231">
        <f t="shared" si="21"/>
        <v>0.24736800000000003</v>
      </c>
      <c r="I23" s="358">
        <f t="shared" si="17"/>
        <v>0.28603296061296635</v>
      </c>
      <c r="J23" s="276"/>
      <c r="K23" s="199">
        <f t="shared" si="18"/>
        <v>5.0000000000000001E-3</v>
      </c>
      <c r="L23" s="282" t="e">
        <f t="shared" si="4"/>
        <v>#DIV/0!</v>
      </c>
      <c r="M23" s="286" t="e">
        <f>0.01*FORMAT_HAR_I!BU23*C23*1000</f>
        <v>#DIV/0!</v>
      </c>
      <c r="N23" s="231" t="e">
        <f t="shared" si="5"/>
        <v>#DIV/0!</v>
      </c>
      <c r="O23" s="231">
        <f t="shared" si="22"/>
        <v>0.24736800000000003</v>
      </c>
      <c r="P23" s="358">
        <f t="shared" si="7"/>
        <v>0.28603296061296635</v>
      </c>
      <c r="Q23" s="276"/>
      <c r="R23" s="199">
        <f t="shared" si="19"/>
        <v>5.0000000000000001E-3</v>
      </c>
      <c r="S23" s="552" t="e">
        <f t="shared" si="9"/>
        <v>#DIV/0!</v>
      </c>
      <c r="T23" s="541" t="e">
        <f t="shared" si="10"/>
        <v>#DIV/0!</v>
      </c>
      <c r="U23" s="538">
        <f t="shared" si="11"/>
        <v>0.59210000000000007</v>
      </c>
      <c r="V23" s="458">
        <f t="shared" si="20"/>
        <v>7.5</v>
      </c>
      <c r="W23" s="463" t="e">
        <f t="shared" si="13"/>
        <v>#DIV/0!</v>
      </c>
      <c r="X23" s="316" t="e">
        <f t="shared" si="14"/>
        <v>#DIV/0!</v>
      </c>
      <c r="Y23" s="319" t="e">
        <f t="shared" si="15"/>
        <v>#DIV/0!</v>
      </c>
      <c r="Z23" s="316" t="e">
        <f t="shared" si="16"/>
        <v>#DIV/0!</v>
      </c>
    </row>
    <row r="24" spans="1:26" ht="12.9" customHeight="1">
      <c r="A24" s="116">
        <f t="shared" si="0"/>
        <v>1000</v>
      </c>
      <c r="B24" s="365">
        <v>20</v>
      </c>
      <c r="C24" s="44">
        <f>FORMAT_HAR_I!C24</f>
        <v>9.1999999999999998E-2</v>
      </c>
      <c r="D24" s="361" t="e">
        <f>FORMAT_HAR_I!BX24</f>
        <v>#DIV/0!</v>
      </c>
      <c r="E24" s="381" t="e">
        <f>FORMAT_HAR_I!CA24</f>
        <v>#DIV/0!</v>
      </c>
      <c r="F24" s="286" t="e">
        <f>0.01*FORMAT_HAR_I!AK24*C24*1000</f>
        <v>#DIV/0!</v>
      </c>
      <c r="G24" s="231" t="e">
        <f t="shared" si="1"/>
        <v>#DIV/0!</v>
      </c>
      <c r="H24" s="231">
        <f t="shared" si="21"/>
        <v>0.23680000000000001</v>
      </c>
      <c r="I24" s="358">
        <f t="shared" si="17"/>
        <v>0.2222178042255776</v>
      </c>
      <c r="J24" s="276"/>
      <c r="K24" s="199">
        <f t="shared" si="18"/>
        <v>5.0000000000000001E-3</v>
      </c>
      <c r="L24" s="282" t="e">
        <f t="shared" si="4"/>
        <v>#DIV/0!</v>
      </c>
      <c r="M24" s="286" t="e">
        <f>0.01*FORMAT_HAR_I!BU24*C24*1000</f>
        <v>#DIV/0!</v>
      </c>
      <c r="N24" s="231" t="e">
        <f t="shared" si="5"/>
        <v>#DIV/0!</v>
      </c>
      <c r="O24" s="231">
        <f t="shared" si="22"/>
        <v>0.23680000000000001</v>
      </c>
      <c r="P24" s="358">
        <f t="shared" si="7"/>
        <v>0.2222178042255776</v>
      </c>
      <c r="Q24" s="276"/>
      <c r="R24" s="199">
        <f t="shared" si="19"/>
        <v>5.0000000000000001E-3</v>
      </c>
      <c r="S24" s="552" t="e">
        <f t="shared" si="9"/>
        <v>#DIV/0!</v>
      </c>
      <c r="T24" s="541" t="e">
        <f t="shared" si="10"/>
        <v>#DIV/0!</v>
      </c>
      <c r="U24" s="538">
        <f t="shared" si="11"/>
        <v>0.46</v>
      </c>
      <c r="V24" s="458">
        <f t="shared" si="20"/>
        <v>7.5</v>
      </c>
      <c r="W24" s="463" t="e">
        <f t="shared" si="13"/>
        <v>#DIV/0!</v>
      </c>
      <c r="X24" s="316" t="e">
        <f t="shared" si="14"/>
        <v>#DIV/0!</v>
      </c>
      <c r="Y24" s="319" t="e">
        <f t="shared" si="15"/>
        <v>#DIV/0!</v>
      </c>
      <c r="Z24" s="316" t="e">
        <f t="shared" si="16"/>
        <v>#DIV/0!</v>
      </c>
    </row>
    <row r="25" spans="1:26" ht="12.9" customHeight="1">
      <c r="A25" s="116">
        <f t="shared" si="0"/>
        <v>1050</v>
      </c>
      <c r="B25" s="365">
        <v>21</v>
      </c>
      <c r="C25" s="44">
        <f>FORMAT_HAR_I!C25</f>
        <v>0.10714</v>
      </c>
      <c r="D25" s="361" t="e">
        <f>FORMAT_HAR_I!BX25</f>
        <v>#DIV/0!</v>
      </c>
      <c r="E25" s="381" t="e">
        <f>FORMAT_HAR_I!CA25</f>
        <v>#DIV/0!</v>
      </c>
      <c r="F25" s="286" t="e">
        <f>0.01*FORMAT_HAR_I!AK25*C25*1000</f>
        <v>#DIV/0!</v>
      </c>
      <c r="G25" s="231" t="e">
        <f t="shared" si="1"/>
        <v>#DIV/0!</v>
      </c>
      <c r="H25" s="231">
        <f t="shared" si="21"/>
        <v>0.24285600000000002</v>
      </c>
      <c r="I25" s="358">
        <f t="shared" si="17"/>
        <v>0.2587871254861781</v>
      </c>
      <c r="J25" s="276"/>
      <c r="K25" s="199">
        <f t="shared" si="18"/>
        <v>5.0000000000000001E-3</v>
      </c>
      <c r="L25" s="282" t="e">
        <f t="shared" si="4"/>
        <v>#DIV/0!</v>
      </c>
      <c r="M25" s="286" t="e">
        <f>0.01*FORMAT_HAR_I!BU25*C25*1000</f>
        <v>#DIV/0!</v>
      </c>
      <c r="N25" s="231" t="e">
        <f t="shared" si="5"/>
        <v>#DIV/0!</v>
      </c>
      <c r="O25" s="231">
        <f t="shared" si="22"/>
        <v>0.24285600000000002</v>
      </c>
      <c r="P25" s="358">
        <f t="shared" si="7"/>
        <v>0.2587871254861781</v>
      </c>
      <c r="Q25" s="276"/>
      <c r="R25" s="199">
        <f t="shared" si="19"/>
        <v>5.0000000000000001E-3</v>
      </c>
      <c r="S25" s="552" t="e">
        <f t="shared" si="9"/>
        <v>#DIV/0!</v>
      </c>
      <c r="T25" s="541" t="e">
        <f t="shared" si="10"/>
        <v>#DIV/0!</v>
      </c>
      <c r="U25" s="538">
        <f t="shared" si="11"/>
        <v>0.53569999999999995</v>
      </c>
      <c r="V25" s="458">
        <f t="shared" si="20"/>
        <v>7.5</v>
      </c>
      <c r="W25" s="463" t="e">
        <f t="shared" si="13"/>
        <v>#DIV/0!</v>
      </c>
      <c r="X25" s="316" t="e">
        <f t="shared" si="14"/>
        <v>#DIV/0!</v>
      </c>
      <c r="Y25" s="319" t="e">
        <f t="shared" si="15"/>
        <v>#DIV/0!</v>
      </c>
      <c r="Z25" s="316" t="e">
        <f t="shared" si="16"/>
        <v>#DIV/0!</v>
      </c>
    </row>
    <row r="26" spans="1:26" ht="12.9" customHeight="1">
      <c r="A26" s="116">
        <f t="shared" si="0"/>
        <v>1100</v>
      </c>
      <c r="B26" s="365">
        <v>22</v>
      </c>
      <c r="C26" s="44">
        <f>FORMAT_HAR_I!C26</f>
        <v>8.3640000000000006E-2</v>
      </c>
      <c r="D26" s="361" t="e">
        <f>FORMAT_HAR_I!BX26</f>
        <v>#DIV/0!</v>
      </c>
      <c r="E26" s="381" t="e">
        <f>FORMAT_HAR_I!CA26</f>
        <v>#DIV/0!</v>
      </c>
      <c r="F26" s="286" t="e">
        <f>0.01*FORMAT_HAR_I!AK26*C26*1000</f>
        <v>#DIV/0!</v>
      </c>
      <c r="G26" s="231" t="e">
        <f t="shared" si="1"/>
        <v>#DIV/0!</v>
      </c>
      <c r="H26" s="231">
        <f t="shared" si="21"/>
        <v>0.23345600000000002</v>
      </c>
      <c r="I26" s="358">
        <f t="shared" si="17"/>
        <v>0.20202496897203598</v>
      </c>
      <c r="J26" s="276"/>
      <c r="K26" s="199">
        <f t="shared" si="18"/>
        <v>5.0000000000000001E-3</v>
      </c>
      <c r="L26" s="282" t="e">
        <f t="shared" si="4"/>
        <v>#DIV/0!</v>
      </c>
      <c r="M26" s="286" t="e">
        <f>0.01*FORMAT_HAR_I!BU26*C26*1000</f>
        <v>#DIV/0!</v>
      </c>
      <c r="N26" s="231" t="e">
        <f t="shared" si="5"/>
        <v>#DIV/0!</v>
      </c>
      <c r="O26" s="231">
        <f t="shared" si="22"/>
        <v>0.23345600000000002</v>
      </c>
      <c r="P26" s="358">
        <f t="shared" si="7"/>
        <v>0.20202496897203598</v>
      </c>
      <c r="Q26" s="276"/>
      <c r="R26" s="199">
        <f t="shared" si="19"/>
        <v>5.0000000000000001E-3</v>
      </c>
      <c r="S26" s="552" t="e">
        <f t="shared" si="9"/>
        <v>#DIV/0!</v>
      </c>
      <c r="T26" s="541" t="e">
        <f t="shared" si="10"/>
        <v>#DIV/0!</v>
      </c>
      <c r="U26" s="538">
        <f t="shared" si="11"/>
        <v>0.41820000000000002</v>
      </c>
      <c r="V26" s="458">
        <f t="shared" si="20"/>
        <v>7.5</v>
      </c>
      <c r="W26" s="463" t="e">
        <f t="shared" si="13"/>
        <v>#DIV/0!</v>
      </c>
      <c r="X26" s="316" t="e">
        <f t="shared" si="14"/>
        <v>#DIV/0!</v>
      </c>
      <c r="Y26" s="319" t="e">
        <f t="shared" si="15"/>
        <v>#DIV/0!</v>
      </c>
      <c r="Z26" s="316" t="e">
        <f t="shared" si="16"/>
        <v>#DIV/0!</v>
      </c>
    </row>
    <row r="27" spans="1:26" ht="12.9" customHeight="1">
      <c r="A27" s="116">
        <f t="shared" si="0"/>
        <v>1150</v>
      </c>
      <c r="B27" s="365">
        <v>23</v>
      </c>
      <c r="C27" s="44">
        <f>FORMAT_HAR_I!C27</f>
        <v>9.783E-2</v>
      </c>
      <c r="D27" s="361" t="e">
        <f>FORMAT_HAR_I!BX27</f>
        <v>#DIV/0!</v>
      </c>
      <c r="E27" s="381" t="e">
        <f>FORMAT_HAR_I!CA27</f>
        <v>#DIV/0!</v>
      </c>
      <c r="F27" s="286" t="e">
        <f>0.01*FORMAT_HAR_I!AK27*C27*1000</f>
        <v>#DIV/0!</v>
      </c>
      <c r="G27" s="231" t="e">
        <f t="shared" si="1"/>
        <v>#DIV/0!</v>
      </c>
      <c r="H27" s="231">
        <f t="shared" si="21"/>
        <v>0.23913200000000004</v>
      </c>
      <c r="I27" s="358">
        <f t="shared" si="17"/>
        <v>0.23629964986291582</v>
      </c>
      <c r="J27" s="276"/>
      <c r="K27" s="199">
        <f t="shared" si="18"/>
        <v>5.0000000000000001E-3</v>
      </c>
      <c r="L27" s="282" t="e">
        <f t="shared" si="4"/>
        <v>#DIV/0!</v>
      </c>
      <c r="M27" s="286" t="e">
        <f>0.01*FORMAT_HAR_I!BU27*C27*1000</f>
        <v>#DIV/0!</v>
      </c>
      <c r="N27" s="231" t="e">
        <f t="shared" si="5"/>
        <v>#DIV/0!</v>
      </c>
      <c r="O27" s="231">
        <f t="shared" si="22"/>
        <v>0.23913200000000004</v>
      </c>
      <c r="P27" s="358">
        <f t="shared" si="7"/>
        <v>0.23629964986291582</v>
      </c>
      <c r="Q27" s="276"/>
      <c r="R27" s="199">
        <f t="shared" si="19"/>
        <v>5.0000000000000001E-3</v>
      </c>
      <c r="S27" s="552" t="e">
        <f t="shared" si="9"/>
        <v>#DIV/0!</v>
      </c>
      <c r="T27" s="541" t="e">
        <f t="shared" si="10"/>
        <v>#DIV/0!</v>
      </c>
      <c r="U27" s="538">
        <f t="shared" si="11"/>
        <v>0.48915000000000003</v>
      </c>
      <c r="V27" s="458">
        <f t="shared" si="20"/>
        <v>7.5</v>
      </c>
      <c r="W27" s="463" t="e">
        <f t="shared" si="13"/>
        <v>#DIV/0!</v>
      </c>
      <c r="X27" s="316" t="e">
        <f t="shared" si="14"/>
        <v>#DIV/0!</v>
      </c>
      <c r="Y27" s="319" t="e">
        <f t="shared" si="15"/>
        <v>#DIV/0!</v>
      </c>
      <c r="Z27" s="316" t="e">
        <f t="shared" si="16"/>
        <v>#DIV/0!</v>
      </c>
    </row>
    <row r="28" spans="1:26" ht="12.9" customHeight="1">
      <c r="A28" s="116">
        <f t="shared" si="0"/>
        <v>1200</v>
      </c>
      <c r="B28" s="365">
        <v>24</v>
      </c>
      <c r="C28" s="44">
        <f>FORMAT_HAR_I!C28</f>
        <v>7.6670000000000002E-2</v>
      </c>
      <c r="D28" s="361" t="e">
        <f>FORMAT_HAR_I!BX28</f>
        <v>#DIV/0!</v>
      </c>
      <c r="E28" s="381" t="e">
        <f>FORMAT_HAR_I!CA28</f>
        <v>#DIV/0!</v>
      </c>
      <c r="F28" s="286" t="e">
        <f>0.01*FORMAT_HAR_I!AK28*C28*1000</f>
        <v>#DIV/0!</v>
      </c>
      <c r="G28" s="231" t="e">
        <f t="shared" si="1"/>
        <v>#DIV/0!</v>
      </c>
      <c r="H28" s="231">
        <f t="shared" si="21"/>
        <v>0.23066800000000001</v>
      </c>
      <c r="I28" s="358">
        <f t="shared" si="17"/>
        <v>0.18518955489103298</v>
      </c>
      <c r="J28" s="276"/>
      <c r="K28" s="199">
        <f t="shared" si="18"/>
        <v>5.0000000000000001E-3</v>
      </c>
      <c r="L28" s="282" t="e">
        <f t="shared" si="4"/>
        <v>#DIV/0!</v>
      </c>
      <c r="M28" s="286" t="e">
        <f>0.01*FORMAT_HAR_I!BU28*C28*1000</f>
        <v>#DIV/0!</v>
      </c>
      <c r="N28" s="231" t="e">
        <f t="shared" si="5"/>
        <v>#DIV/0!</v>
      </c>
      <c r="O28" s="231">
        <f t="shared" si="22"/>
        <v>0.23066800000000001</v>
      </c>
      <c r="P28" s="358">
        <f t="shared" si="7"/>
        <v>0.18518955489103298</v>
      </c>
      <c r="Q28" s="276"/>
      <c r="R28" s="199">
        <f t="shared" si="19"/>
        <v>5.0000000000000001E-3</v>
      </c>
      <c r="S28" s="552" t="e">
        <f t="shared" si="9"/>
        <v>#DIV/0!</v>
      </c>
      <c r="T28" s="541" t="e">
        <f t="shared" si="10"/>
        <v>#DIV/0!</v>
      </c>
      <c r="U28" s="538">
        <f t="shared" si="11"/>
        <v>0.38335000000000002</v>
      </c>
      <c r="V28" s="458">
        <f t="shared" si="20"/>
        <v>7.5</v>
      </c>
      <c r="W28" s="463" t="e">
        <f t="shared" si="13"/>
        <v>#DIV/0!</v>
      </c>
      <c r="X28" s="316" t="e">
        <f t="shared" si="14"/>
        <v>#DIV/0!</v>
      </c>
      <c r="Y28" s="319" t="e">
        <f t="shared" si="15"/>
        <v>#DIV/0!</v>
      </c>
      <c r="Z28" s="316" t="e">
        <f t="shared" si="16"/>
        <v>#DIV/0!</v>
      </c>
    </row>
    <row r="29" spans="1:26" ht="12.9" customHeight="1">
      <c r="A29" s="116">
        <f t="shared" si="0"/>
        <v>1250</v>
      </c>
      <c r="B29" s="365">
        <v>25</v>
      </c>
      <c r="C29" s="44">
        <f>FORMAT_HAR_I!C29</f>
        <v>0.09</v>
      </c>
      <c r="D29" s="361" t="e">
        <f>FORMAT_HAR_I!BX29</f>
        <v>#DIV/0!</v>
      </c>
      <c r="E29" s="381" t="e">
        <f>FORMAT_HAR_I!CA29</f>
        <v>#DIV/0!</v>
      </c>
      <c r="F29" s="286" t="e">
        <f>0.01*FORMAT_HAR_I!AK29*C29*1000</f>
        <v>#DIV/0!</v>
      </c>
      <c r="G29" s="231" t="e">
        <f t="shared" si="1"/>
        <v>#DIV/0!</v>
      </c>
      <c r="H29" s="231">
        <f t="shared" si="21"/>
        <v>0.23600000000000002</v>
      </c>
      <c r="I29" s="358">
        <f t="shared" si="17"/>
        <v>0.21738698239458679</v>
      </c>
      <c r="J29" s="276"/>
      <c r="K29" s="199">
        <f t="shared" si="18"/>
        <v>5.0000000000000001E-3</v>
      </c>
      <c r="L29" s="282" t="e">
        <f t="shared" si="4"/>
        <v>#DIV/0!</v>
      </c>
      <c r="M29" s="286" t="e">
        <f>0.01*FORMAT_HAR_I!BU29*C29*1000</f>
        <v>#DIV/0!</v>
      </c>
      <c r="N29" s="231" t="e">
        <f t="shared" si="5"/>
        <v>#DIV/0!</v>
      </c>
      <c r="O29" s="231">
        <f t="shared" si="22"/>
        <v>0.23600000000000002</v>
      </c>
      <c r="P29" s="358">
        <f t="shared" si="7"/>
        <v>0.21738698239458679</v>
      </c>
      <c r="Q29" s="276"/>
      <c r="R29" s="199">
        <f t="shared" si="19"/>
        <v>5.0000000000000001E-3</v>
      </c>
      <c r="S29" s="552" t="e">
        <f t="shared" si="9"/>
        <v>#DIV/0!</v>
      </c>
      <c r="T29" s="541" t="e">
        <f t="shared" si="10"/>
        <v>#DIV/0!</v>
      </c>
      <c r="U29" s="538">
        <f t="shared" si="11"/>
        <v>0.45</v>
      </c>
      <c r="V29" s="458">
        <f t="shared" si="20"/>
        <v>7.5</v>
      </c>
      <c r="W29" s="463" t="e">
        <f t="shared" si="13"/>
        <v>#DIV/0!</v>
      </c>
      <c r="X29" s="316" t="e">
        <f t="shared" si="14"/>
        <v>#DIV/0!</v>
      </c>
      <c r="Y29" s="319" t="e">
        <f t="shared" si="15"/>
        <v>#DIV/0!</v>
      </c>
      <c r="Z29" s="316" t="e">
        <f t="shared" si="16"/>
        <v>#DIV/0!</v>
      </c>
    </row>
    <row r="30" spans="1:26" ht="12.9" customHeight="1">
      <c r="A30" s="116">
        <f t="shared" si="0"/>
        <v>1300</v>
      </c>
      <c r="B30" s="365">
        <v>26</v>
      </c>
      <c r="C30" s="44">
        <f>FORMAT_HAR_I!C30</f>
        <v>7.077E-2</v>
      </c>
      <c r="D30" s="361" t="e">
        <f>FORMAT_HAR_I!BX30</f>
        <v>#DIV/0!</v>
      </c>
      <c r="E30" s="381" t="e">
        <f>FORMAT_HAR_I!CA30</f>
        <v>#DIV/0!</v>
      </c>
      <c r="F30" s="286" t="e">
        <f>0.01*FORMAT_HAR_I!AK30*C30*1000</f>
        <v>#DIV/0!</v>
      </c>
      <c r="G30" s="231" t="e">
        <f t="shared" si="1"/>
        <v>#DIV/0!</v>
      </c>
      <c r="H30" s="231">
        <f t="shared" si="21"/>
        <v>0.22830800000000001</v>
      </c>
      <c r="I30" s="358">
        <f t="shared" si="17"/>
        <v>0.17093863048961006</v>
      </c>
      <c r="J30" s="276"/>
      <c r="K30" s="199">
        <f t="shared" si="18"/>
        <v>5.0000000000000001E-3</v>
      </c>
      <c r="L30" s="282" t="e">
        <f t="shared" si="4"/>
        <v>#DIV/0!</v>
      </c>
      <c r="M30" s="286" t="e">
        <f>0.01*FORMAT_HAR_I!BU30*C30*1000</f>
        <v>#DIV/0!</v>
      </c>
      <c r="N30" s="231" t="e">
        <f t="shared" si="5"/>
        <v>#DIV/0!</v>
      </c>
      <c r="O30" s="231">
        <f t="shared" si="22"/>
        <v>0.22830800000000001</v>
      </c>
      <c r="P30" s="358">
        <f t="shared" si="7"/>
        <v>0.17093863048961006</v>
      </c>
      <c r="Q30" s="276"/>
      <c r="R30" s="199">
        <f t="shared" si="19"/>
        <v>5.0000000000000001E-3</v>
      </c>
      <c r="S30" s="552" t="e">
        <f t="shared" si="9"/>
        <v>#DIV/0!</v>
      </c>
      <c r="T30" s="541" t="e">
        <f t="shared" si="10"/>
        <v>#DIV/0!</v>
      </c>
      <c r="U30" s="538">
        <f t="shared" si="11"/>
        <v>0.35385</v>
      </c>
      <c r="V30" s="458">
        <f t="shared" si="20"/>
        <v>7.5</v>
      </c>
      <c r="W30" s="463" t="e">
        <f t="shared" si="13"/>
        <v>#DIV/0!</v>
      </c>
      <c r="X30" s="316" t="e">
        <f t="shared" si="14"/>
        <v>#DIV/0!</v>
      </c>
      <c r="Y30" s="319" t="e">
        <f t="shared" si="15"/>
        <v>#DIV/0!</v>
      </c>
      <c r="Z30" s="316" t="e">
        <f t="shared" si="16"/>
        <v>#DIV/0!</v>
      </c>
    </row>
    <row r="31" spans="1:26" ht="12.9" customHeight="1">
      <c r="A31" s="116">
        <f t="shared" si="0"/>
        <v>1350</v>
      </c>
      <c r="B31" s="365">
        <v>27</v>
      </c>
      <c r="C31" s="44">
        <f>FORMAT_HAR_I!C31</f>
        <v>8.3330000000000001E-2</v>
      </c>
      <c r="D31" s="361" t="e">
        <f>FORMAT_HAR_I!BX31</f>
        <v>#DIV/0!</v>
      </c>
      <c r="E31" s="381" t="e">
        <f>FORMAT_HAR_I!CA31</f>
        <v>#DIV/0!</v>
      </c>
      <c r="F31" s="286" t="e">
        <f>0.01*FORMAT_HAR_I!AK31*C31*1000</f>
        <v>#DIV/0!</v>
      </c>
      <c r="G31" s="231" t="e">
        <f t="shared" si="1"/>
        <v>#DIV/0!</v>
      </c>
      <c r="H31" s="231">
        <f t="shared" si="21"/>
        <v>0.23333200000000001</v>
      </c>
      <c r="I31" s="358">
        <f t="shared" si="17"/>
        <v>0.2012761915882324</v>
      </c>
      <c r="J31" s="276"/>
      <c r="K31" s="199">
        <f t="shared" si="18"/>
        <v>5.0000000000000001E-3</v>
      </c>
      <c r="L31" s="282" t="e">
        <f t="shared" si="4"/>
        <v>#DIV/0!</v>
      </c>
      <c r="M31" s="286" t="e">
        <f>0.01*FORMAT_HAR_I!BU31*C31*1000</f>
        <v>#DIV/0!</v>
      </c>
      <c r="N31" s="231" t="e">
        <f t="shared" si="5"/>
        <v>#DIV/0!</v>
      </c>
      <c r="O31" s="231">
        <f t="shared" si="22"/>
        <v>0.23333200000000001</v>
      </c>
      <c r="P31" s="358">
        <f t="shared" si="7"/>
        <v>0.2012761915882324</v>
      </c>
      <c r="Q31" s="276"/>
      <c r="R31" s="199">
        <f t="shared" si="19"/>
        <v>5.0000000000000001E-3</v>
      </c>
      <c r="S31" s="552" t="e">
        <f t="shared" si="9"/>
        <v>#DIV/0!</v>
      </c>
      <c r="T31" s="541" t="e">
        <f t="shared" si="10"/>
        <v>#DIV/0!</v>
      </c>
      <c r="U31" s="538">
        <f t="shared" si="11"/>
        <v>0.41665000000000002</v>
      </c>
      <c r="V31" s="458">
        <f t="shared" si="20"/>
        <v>7.5</v>
      </c>
      <c r="W31" s="463" t="e">
        <f t="shared" si="13"/>
        <v>#DIV/0!</v>
      </c>
      <c r="X31" s="316" t="e">
        <f t="shared" si="14"/>
        <v>#DIV/0!</v>
      </c>
      <c r="Y31" s="319" t="e">
        <f t="shared" si="15"/>
        <v>#DIV/0!</v>
      </c>
      <c r="Z31" s="316" t="e">
        <f t="shared" si="16"/>
        <v>#DIV/0!</v>
      </c>
    </row>
    <row r="32" spans="1:26" ht="12.9" customHeight="1">
      <c r="A32" s="116">
        <f t="shared" si="0"/>
        <v>1400</v>
      </c>
      <c r="B32" s="365">
        <v>28</v>
      </c>
      <c r="C32" s="44">
        <f>FORMAT_HAR_I!C32</f>
        <v>6.5710000000000005E-2</v>
      </c>
      <c r="D32" s="361" t="e">
        <f>FORMAT_HAR_I!BX32</f>
        <v>#DIV/0!</v>
      </c>
      <c r="E32" s="381" t="e">
        <f>FORMAT_HAR_I!CA32</f>
        <v>#DIV/0!</v>
      </c>
      <c r="F32" s="286" t="e">
        <f>0.01*FORMAT_HAR_I!AK32*C32*1000</f>
        <v>#DIV/0!</v>
      </c>
      <c r="G32" s="231" t="e">
        <f t="shared" si="1"/>
        <v>#DIV/0!</v>
      </c>
      <c r="H32" s="231">
        <f t="shared" si="21"/>
        <v>0.22628400000000001</v>
      </c>
      <c r="I32" s="358">
        <f t="shared" si="17"/>
        <v>0.15871665125720333</v>
      </c>
      <c r="J32" s="276"/>
      <c r="K32" s="199">
        <f t="shared" si="18"/>
        <v>5.0000000000000001E-3</v>
      </c>
      <c r="L32" s="282" t="e">
        <f t="shared" si="4"/>
        <v>#DIV/0!</v>
      </c>
      <c r="M32" s="286" t="e">
        <f>0.01*FORMAT_HAR_I!BU32*C32*1000</f>
        <v>#DIV/0!</v>
      </c>
      <c r="N32" s="231" t="e">
        <f t="shared" si="5"/>
        <v>#DIV/0!</v>
      </c>
      <c r="O32" s="231">
        <f t="shared" si="22"/>
        <v>0.22628400000000001</v>
      </c>
      <c r="P32" s="358">
        <f t="shared" si="7"/>
        <v>0.15871665125720333</v>
      </c>
      <c r="Q32" s="276"/>
      <c r="R32" s="199">
        <f t="shared" si="19"/>
        <v>5.0000000000000001E-3</v>
      </c>
      <c r="S32" s="552" t="e">
        <f t="shared" si="9"/>
        <v>#DIV/0!</v>
      </c>
      <c r="T32" s="541" t="e">
        <f t="shared" si="10"/>
        <v>#DIV/0!</v>
      </c>
      <c r="U32" s="538">
        <f t="shared" si="11"/>
        <v>0.32855000000000006</v>
      </c>
      <c r="V32" s="458">
        <f t="shared" si="20"/>
        <v>7.5</v>
      </c>
      <c r="W32" s="463" t="e">
        <f t="shared" si="13"/>
        <v>#DIV/0!</v>
      </c>
      <c r="X32" s="316" t="e">
        <f t="shared" si="14"/>
        <v>#DIV/0!</v>
      </c>
      <c r="Y32" s="319" t="e">
        <f t="shared" si="15"/>
        <v>#DIV/0!</v>
      </c>
      <c r="Z32" s="316" t="e">
        <f t="shared" si="16"/>
        <v>#DIV/0!</v>
      </c>
    </row>
    <row r="33" spans="1:26" ht="12.9" customHeight="1">
      <c r="A33" s="116">
        <f t="shared" si="0"/>
        <v>1450</v>
      </c>
      <c r="B33" s="365">
        <v>29</v>
      </c>
      <c r="C33" s="44">
        <f>FORMAT_HAR_I!C33</f>
        <v>7.7590000000000006E-2</v>
      </c>
      <c r="D33" s="361" t="e">
        <f>FORMAT_HAR_I!BX33</f>
        <v>#DIV/0!</v>
      </c>
      <c r="E33" s="381" t="e">
        <f>FORMAT_HAR_I!CA33</f>
        <v>#DIV/0!</v>
      </c>
      <c r="F33" s="286" t="e">
        <f>0.01*FORMAT_HAR_I!AK33*C33*1000</f>
        <v>#DIV/0!</v>
      </c>
      <c r="G33" s="231" t="e">
        <f t="shared" si="1"/>
        <v>#DIV/0!</v>
      </c>
      <c r="H33" s="231">
        <f t="shared" si="21"/>
        <v>0.23103599999999999</v>
      </c>
      <c r="I33" s="358">
        <f t="shared" si="17"/>
        <v>0.18741173293328878</v>
      </c>
      <c r="J33" s="276"/>
      <c r="K33" s="199">
        <f t="shared" si="18"/>
        <v>5.0000000000000001E-3</v>
      </c>
      <c r="L33" s="282" t="e">
        <f t="shared" si="4"/>
        <v>#DIV/0!</v>
      </c>
      <c r="M33" s="286" t="e">
        <f>0.01*FORMAT_HAR_I!BU33*C33*1000</f>
        <v>#DIV/0!</v>
      </c>
      <c r="N33" s="231" t="e">
        <f t="shared" si="5"/>
        <v>#DIV/0!</v>
      </c>
      <c r="O33" s="231">
        <f t="shared" si="22"/>
        <v>0.23103599999999999</v>
      </c>
      <c r="P33" s="358">
        <f t="shared" si="7"/>
        <v>0.18741173293328878</v>
      </c>
      <c r="Q33" s="276"/>
      <c r="R33" s="199">
        <f t="shared" si="19"/>
        <v>5.0000000000000001E-3</v>
      </c>
      <c r="S33" s="552" t="e">
        <f t="shared" si="9"/>
        <v>#DIV/0!</v>
      </c>
      <c r="T33" s="541" t="e">
        <f t="shared" si="10"/>
        <v>#DIV/0!</v>
      </c>
      <c r="U33" s="538">
        <f t="shared" si="11"/>
        <v>0.38795000000000002</v>
      </c>
      <c r="V33" s="458">
        <f t="shared" si="20"/>
        <v>7.5</v>
      </c>
      <c r="W33" s="463" t="e">
        <f t="shared" si="13"/>
        <v>#DIV/0!</v>
      </c>
      <c r="X33" s="316" t="e">
        <f t="shared" si="14"/>
        <v>#DIV/0!</v>
      </c>
      <c r="Y33" s="319" t="e">
        <f t="shared" si="15"/>
        <v>#DIV/0!</v>
      </c>
      <c r="Z33" s="316" t="e">
        <f t="shared" si="16"/>
        <v>#DIV/0!</v>
      </c>
    </row>
    <row r="34" spans="1:26" ht="12.9" customHeight="1">
      <c r="A34" s="116">
        <f t="shared" si="0"/>
        <v>1500</v>
      </c>
      <c r="B34" s="365">
        <v>30</v>
      </c>
      <c r="C34" s="44">
        <f>FORMAT_HAR_I!C34</f>
        <v>6.1330000000000003E-2</v>
      </c>
      <c r="D34" s="361" t="e">
        <f>FORMAT_HAR_I!BX34</f>
        <v>#DIV/0!</v>
      </c>
      <c r="E34" s="381" t="e">
        <f>FORMAT_HAR_I!CA34</f>
        <v>#DIV/0!</v>
      </c>
      <c r="F34" s="286" t="e">
        <f>0.01*FORMAT_HAR_I!AK34*C34*1000</f>
        <v>#DIV/0!</v>
      </c>
      <c r="G34" s="231" t="e">
        <f t="shared" si="1"/>
        <v>#DIV/0!</v>
      </c>
      <c r="H34" s="231">
        <f t="shared" si="21"/>
        <v>0.22453200000000001</v>
      </c>
      <c r="I34" s="358">
        <f t="shared" si="17"/>
        <v>0.14813715144733344</v>
      </c>
      <c r="J34" s="276"/>
      <c r="K34" s="199">
        <f t="shared" si="18"/>
        <v>5.0000000000000001E-3</v>
      </c>
      <c r="L34" s="282" t="e">
        <f t="shared" si="4"/>
        <v>#DIV/0!</v>
      </c>
      <c r="M34" s="286" t="e">
        <f>0.01*FORMAT_HAR_I!BU34*C34*1000</f>
        <v>#DIV/0!</v>
      </c>
      <c r="N34" s="231" t="e">
        <f t="shared" si="5"/>
        <v>#DIV/0!</v>
      </c>
      <c r="O34" s="231">
        <f t="shared" si="22"/>
        <v>0.22453200000000001</v>
      </c>
      <c r="P34" s="358">
        <f t="shared" si="7"/>
        <v>0.14813715144733344</v>
      </c>
      <c r="Q34" s="276"/>
      <c r="R34" s="199">
        <f t="shared" si="19"/>
        <v>5.0000000000000001E-3</v>
      </c>
      <c r="S34" s="552" t="e">
        <f t="shared" si="9"/>
        <v>#DIV/0!</v>
      </c>
      <c r="T34" s="541" t="e">
        <f t="shared" si="10"/>
        <v>#DIV/0!</v>
      </c>
      <c r="U34" s="538">
        <f t="shared" si="11"/>
        <v>0.30664999999999998</v>
      </c>
      <c r="V34" s="458">
        <f t="shared" si="20"/>
        <v>7.5</v>
      </c>
      <c r="W34" s="463" t="e">
        <f t="shared" si="13"/>
        <v>#DIV/0!</v>
      </c>
      <c r="X34" s="316" t="e">
        <f t="shared" si="14"/>
        <v>#DIV/0!</v>
      </c>
      <c r="Y34" s="319" t="e">
        <f t="shared" si="15"/>
        <v>#DIV/0!</v>
      </c>
      <c r="Z34" s="316" t="e">
        <f t="shared" si="16"/>
        <v>#DIV/0!</v>
      </c>
    </row>
    <row r="35" spans="1:26" ht="12.9" customHeight="1">
      <c r="A35" s="116">
        <f t="shared" si="0"/>
        <v>1550</v>
      </c>
      <c r="B35" s="365">
        <v>31</v>
      </c>
      <c r="C35" s="44">
        <f>FORMAT_HAR_I!C35</f>
        <v>7.2580000000000006E-2</v>
      </c>
      <c r="D35" s="361" t="e">
        <f>FORMAT_HAR_I!BX35</f>
        <v>#DIV/0!</v>
      </c>
      <c r="E35" s="381" t="e">
        <f>FORMAT_HAR_I!CA35</f>
        <v>#DIV/0!</v>
      </c>
      <c r="F35" s="286" t="e">
        <f>0.01*FORMAT_HAR_I!AK35*C35*1000</f>
        <v>#DIV/0!</v>
      </c>
      <c r="G35" s="231" t="e">
        <f t="shared" si="1"/>
        <v>#DIV/0!</v>
      </c>
      <c r="H35" s="231">
        <f t="shared" si="21"/>
        <v>0.22903199999999999</v>
      </c>
      <c r="I35" s="358">
        <f t="shared" si="17"/>
        <v>0.1753105242466568</v>
      </c>
      <c r="J35" s="276"/>
      <c r="K35" s="199">
        <f t="shared" si="18"/>
        <v>5.0000000000000001E-3</v>
      </c>
      <c r="L35" s="282" t="e">
        <f t="shared" si="4"/>
        <v>#DIV/0!</v>
      </c>
      <c r="M35" s="286" t="e">
        <f>0.01*FORMAT_HAR_I!BU35*C35*1000</f>
        <v>#DIV/0!</v>
      </c>
      <c r="N35" s="231" t="e">
        <f t="shared" si="5"/>
        <v>#DIV/0!</v>
      </c>
      <c r="O35" s="231">
        <f t="shared" si="22"/>
        <v>0.22903199999999999</v>
      </c>
      <c r="P35" s="358">
        <f t="shared" si="7"/>
        <v>0.1753105242466568</v>
      </c>
      <c r="Q35" s="276"/>
      <c r="R35" s="199">
        <f t="shared" si="19"/>
        <v>5.0000000000000001E-3</v>
      </c>
      <c r="S35" s="552" t="e">
        <f t="shared" si="9"/>
        <v>#DIV/0!</v>
      </c>
      <c r="T35" s="541" t="e">
        <f t="shared" si="10"/>
        <v>#DIV/0!</v>
      </c>
      <c r="U35" s="538">
        <f t="shared" si="11"/>
        <v>0.36290000000000006</v>
      </c>
      <c r="V35" s="458">
        <f t="shared" si="20"/>
        <v>7.5</v>
      </c>
      <c r="W35" s="463" t="e">
        <f t="shared" si="13"/>
        <v>#DIV/0!</v>
      </c>
      <c r="X35" s="316" t="e">
        <f t="shared" si="14"/>
        <v>#DIV/0!</v>
      </c>
      <c r="Y35" s="319" t="e">
        <f t="shared" si="15"/>
        <v>#DIV/0!</v>
      </c>
      <c r="Z35" s="316" t="e">
        <f t="shared" si="16"/>
        <v>#DIV/0!</v>
      </c>
    </row>
    <row r="36" spans="1:26" ht="12.9" customHeight="1">
      <c r="A36" s="116">
        <f t="shared" si="0"/>
        <v>1600</v>
      </c>
      <c r="B36" s="365">
        <v>32</v>
      </c>
      <c r="C36" s="44">
        <f>FORMAT_HAR_I!C36</f>
        <v>5.7500000000000002E-2</v>
      </c>
      <c r="D36" s="361" t="e">
        <f>FORMAT_HAR_I!BX36</f>
        <v>#DIV/0!</v>
      </c>
      <c r="E36" s="381" t="e">
        <f>FORMAT_HAR_I!CA36</f>
        <v>#DIV/0!</v>
      </c>
      <c r="F36" s="286" t="e">
        <f>0.01*FORMAT_HAR_I!AK36*C36*1000</f>
        <v>#DIV/0!</v>
      </c>
      <c r="G36" s="231" t="e">
        <f t="shared" si="1"/>
        <v>#DIV/0!</v>
      </c>
      <c r="H36" s="231">
        <f t="shared" si="21"/>
        <v>0.223</v>
      </c>
      <c r="I36" s="358">
        <f t="shared" si="17"/>
        <v>0.13888612764098601</v>
      </c>
      <c r="J36" s="276"/>
      <c r="K36" s="199">
        <f t="shared" si="18"/>
        <v>5.0000000000000001E-3</v>
      </c>
      <c r="L36" s="282" t="e">
        <f t="shared" si="4"/>
        <v>#DIV/0!</v>
      </c>
      <c r="M36" s="286" t="e">
        <f>0.01*FORMAT_HAR_I!BU36*C36*1000</f>
        <v>#DIV/0!</v>
      </c>
      <c r="N36" s="231" t="e">
        <f t="shared" si="5"/>
        <v>#DIV/0!</v>
      </c>
      <c r="O36" s="231">
        <f t="shared" si="22"/>
        <v>0.223</v>
      </c>
      <c r="P36" s="358">
        <f t="shared" si="7"/>
        <v>0.13888612764098601</v>
      </c>
      <c r="Q36" s="276"/>
      <c r="R36" s="199">
        <f t="shared" si="19"/>
        <v>5.0000000000000001E-3</v>
      </c>
      <c r="S36" s="552" t="e">
        <f t="shared" si="9"/>
        <v>#DIV/0!</v>
      </c>
      <c r="T36" s="541" t="e">
        <f t="shared" si="10"/>
        <v>#DIV/0!</v>
      </c>
      <c r="U36" s="538">
        <f t="shared" si="11"/>
        <v>0.28749999999999998</v>
      </c>
      <c r="V36" s="458">
        <f t="shared" si="20"/>
        <v>7.5</v>
      </c>
      <c r="W36" s="463" t="e">
        <f t="shared" si="13"/>
        <v>#DIV/0!</v>
      </c>
      <c r="X36" s="316" t="e">
        <f t="shared" si="14"/>
        <v>#DIV/0!</v>
      </c>
      <c r="Y36" s="319" t="e">
        <f t="shared" si="15"/>
        <v>#DIV/0!</v>
      </c>
      <c r="Z36" s="316" t="e">
        <f t="shared" si="16"/>
        <v>#DIV/0!</v>
      </c>
    </row>
    <row r="37" spans="1:26" ht="12.9" customHeight="1">
      <c r="A37" s="116">
        <f t="shared" si="0"/>
        <v>1650</v>
      </c>
      <c r="B37" s="365">
        <v>33</v>
      </c>
      <c r="C37" s="44">
        <f>FORMAT_HAR_I!C37</f>
        <v>6.8180000000000004E-2</v>
      </c>
      <c r="D37" s="361" t="e">
        <f>FORMAT_HAR_I!BX37</f>
        <v>#DIV/0!</v>
      </c>
      <c r="E37" s="381" t="e">
        <f>FORMAT_HAR_I!CA37</f>
        <v>#DIV/0!</v>
      </c>
      <c r="F37" s="286" t="e">
        <f>0.01*FORMAT_HAR_I!AK37*C37*1000</f>
        <v>#DIV/0!</v>
      </c>
      <c r="G37" s="231" t="e">
        <f t="shared" si="1"/>
        <v>#DIV/0!</v>
      </c>
      <c r="H37" s="231">
        <f t="shared" si="21"/>
        <v>0.227272</v>
      </c>
      <c r="I37" s="358">
        <f t="shared" si="17"/>
        <v>0.16468271621847699</v>
      </c>
      <c r="J37" s="276"/>
      <c r="K37" s="199">
        <f t="shared" si="18"/>
        <v>5.0000000000000001E-3</v>
      </c>
      <c r="L37" s="282" t="e">
        <f t="shared" si="4"/>
        <v>#DIV/0!</v>
      </c>
      <c r="M37" s="286" t="e">
        <f>0.01*FORMAT_HAR_I!BU37*C37*1000</f>
        <v>#DIV/0!</v>
      </c>
      <c r="N37" s="231" t="e">
        <f t="shared" si="5"/>
        <v>#DIV/0!</v>
      </c>
      <c r="O37" s="231">
        <f t="shared" si="22"/>
        <v>0.227272</v>
      </c>
      <c r="P37" s="358">
        <f t="shared" si="7"/>
        <v>0.16468271621847699</v>
      </c>
      <c r="Q37" s="276"/>
      <c r="R37" s="199">
        <f t="shared" si="19"/>
        <v>5.0000000000000001E-3</v>
      </c>
      <c r="S37" s="552" t="e">
        <f t="shared" si="9"/>
        <v>#DIV/0!</v>
      </c>
      <c r="T37" s="541" t="e">
        <f t="shared" si="10"/>
        <v>#DIV/0!</v>
      </c>
      <c r="U37" s="538">
        <f t="shared" si="11"/>
        <v>0.34090000000000004</v>
      </c>
      <c r="V37" s="458">
        <f t="shared" si="20"/>
        <v>7.5</v>
      </c>
      <c r="W37" s="463" t="e">
        <f t="shared" si="13"/>
        <v>#DIV/0!</v>
      </c>
      <c r="X37" s="316" t="e">
        <f t="shared" si="14"/>
        <v>#DIV/0!</v>
      </c>
      <c r="Y37" s="319" t="e">
        <f t="shared" si="15"/>
        <v>#DIV/0!</v>
      </c>
      <c r="Z37" s="316" t="e">
        <f t="shared" si="16"/>
        <v>#DIV/0!</v>
      </c>
    </row>
    <row r="38" spans="1:26" ht="12.9" customHeight="1">
      <c r="A38" s="116">
        <f t="shared" si="0"/>
        <v>1700</v>
      </c>
      <c r="B38" s="365">
        <v>34</v>
      </c>
      <c r="C38" s="44">
        <f>FORMAT_HAR_I!C38</f>
        <v>5.4120000000000001E-2</v>
      </c>
      <c r="D38" s="361" t="e">
        <f>FORMAT_HAR_I!BX38</f>
        <v>#DIV/0!</v>
      </c>
      <c r="E38" s="381" t="e">
        <f>FORMAT_HAR_I!CA38</f>
        <v>#DIV/0!</v>
      </c>
      <c r="F38" s="286" t="e">
        <f>0.01*FORMAT_HAR_I!AK38*C38*1000</f>
        <v>#DIV/0!</v>
      </c>
      <c r="G38" s="231" t="e">
        <f t="shared" si="1"/>
        <v>#DIV/0!</v>
      </c>
      <c r="H38" s="231">
        <f t="shared" si="21"/>
        <v>0.22164800000000001</v>
      </c>
      <c r="I38" s="358">
        <f t="shared" si="17"/>
        <v>0.13072203874661154</v>
      </c>
      <c r="J38" s="276"/>
      <c r="K38" s="199">
        <f t="shared" si="18"/>
        <v>5.0000000000000001E-3</v>
      </c>
      <c r="L38" s="282" t="e">
        <f t="shared" si="4"/>
        <v>#DIV/0!</v>
      </c>
      <c r="M38" s="286" t="e">
        <f>0.01*FORMAT_HAR_I!BU38*C38*1000</f>
        <v>#DIV/0!</v>
      </c>
      <c r="N38" s="231" t="e">
        <f t="shared" si="5"/>
        <v>#DIV/0!</v>
      </c>
      <c r="O38" s="231">
        <f t="shared" si="22"/>
        <v>0.22164800000000001</v>
      </c>
      <c r="P38" s="358">
        <f t="shared" si="7"/>
        <v>0.13072203874661154</v>
      </c>
      <c r="Q38" s="276"/>
      <c r="R38" s="199">
        <f t="shared" si="19"/>
        <v>5.0000000000000001E-3</v>
      </c>
      <c r="S38" s="552" t="e">
        <f t="shared" si="9"/>
        <v>#DIV/0!</v>
      </c>
      <c r="T38" s="541" t="e">
        <f t="shared" si="10"/>
        <v>#DIV/0!</v>
      </c>
      <c r="U38" s="538">
        <f t="shared" si="11"/>
        <v>0.27060000000000001</v>
      </c>
      <c r="V38" s="458">
        <f t="shared" si="20"/>
        <v>7.5</v>
      </c>
      <c r="W38" s="463" t="e">
        <f t="shared" si="13"/>
        <v>#DIV/0!</v>
      </c>
      <c r="X38" s="316" t="e">
        <f t="shared" si="14"/>
        <v>#DIV/0!</v>
      </c>
      <c r="Y38" s="319" t="e">
        <f t="shared" si="15"/>
        <v>#DIV/0!</v>
      </c>
      <c r="Z38" s="316" t="e">
        <f t="shared" si="16"/>
        <v>#DIV/0!</v>
      </c>
    </row>
    <row r="39" spans="1:26" ht="12.9" customHeight="1">
      <c r="A39" s="116">
        <f t="shared" si="0"/>
        <v>1750</v>
      </c>
      <c r="B39" s="365">
        <v>35</v>
      </c>
      <c r="C39" s="44">
        <f>FORMAT_HAR_I!C39</f>
        <v>6.429E-2</v>
      </c>
      <c r="D39" s="361" t="e">
        <f>FORMAT_HAR_I!BX39</f>
        <v>#DIV/0!</v>
      </c>
      <c r="E39" s="381" t="e">
        <f>FORMAT_HAR_I!CA39</f>
        <v>#DIV/0!</v>
      </c>
      <c r="F39" s="286" t="e">
        <f>0.01*FORMAT_HAR_I!AK39*C39*1000</f>
        <v>#DIV/0!</v>
      </c>
      <c r="G39" s="231" t="e">
        <f t="shared" si="1"/>
        <v>#DIV/0!</v>
      </c>
      <c r="H39" s="231">
        <f t="shared" si="21"/>
        <v>0.22571600000000003</v>
      </c>
      <c r="I39" s="358">
        <f t="shared" si="17"/>
        <v>0.15528676775719982</v>
      </c>
      <c r="J39" s="276"/>
      <c r="K39" s="199">
        <f t="shared" si="18"/>
        <v>5.0000000000000001E-3</v>
      </c>
      <c r="L39" s="282" t="e">
        <f t="shared" si="4"/>
        <v>#DIV/0!</v>
      </c>
      <c r="M39" s="286" t="e">
        <f>0.01*FORMAT_HAR_I!BU39*C39*1000</f>
        <v>#DIV/0!</v>
      </c>
      <c r="N39" s="231" t="e">
        <f t="shared" si="5"/>
        <v>#DIV/0!</v>
      </c>
      <c r="O39" s="231">
        <f t="shared" si="22"/>
        <v>0.22571600000000003</v>
      </c>
      <c r="P39" s="358">
        <f t="shared" si="7"/>
        <v>0.15528676775719982</v>
      </c>
      <c r="Q39" s="276"/>
      <c r="R39" s="199">
        <f t="shared" si="19"/>
        <v>5.0000000000000001E-3</v>
      </c>
      <c r="S39" s="552" t="e">
        <f t="shared" si="9"/>
        <v>#DIV/0!</v>
      </c>
      <c r="T39" s="541" t="e">
        <f t="shared" si="10"/>
        <v>#DIV/0!</v>
      </c>
      <c r="U39" s="538">
        <f t="shared" si="11"/>
        <v>0.32144999999999996</v>
      </c>
      <c r="V39" s="458">
        <f t="shared" si="20"/>
        <v>7.5</v>
      </c>
      <c r="W39" s="463" t="e">
        <f t="shared" si="13"/>
        <v>#DIV/0!</v>
      </c>
      <c r="X39" s="316" t="e">
        <f t="shared" si="14"/>
        <v>#DIV/0!</v>
      </c>
      <c r="Y39" s="319" t="e">
        <f t="shared" si="15"/>
        <v>#DIV/0!</v>
      </c>
      <c r="Z39" s="316" t="e">
        <f t="shared" si="16"/>
        <v>#DIV/0!</v>
      </c>
    </row>
    <row r="40" spans="1:26" ht="12.9" customHeight="1">
      <c r="A40" s="116">
        <f t="shared" si="0"/>
        <v>1800</v>
      </c>
      <c r="B40" s="365">
        <v>36</v>
      </c>
      <c r="C40" s="44">
        <f>FORMAT_HAR_I!C40</f>
        <v>5.1110000000000003E-2</v>
      </c>
      <c r="D40" s="361" t="e">
        <f>FORMAT_HAR_I!BX40</f>
        <v>#DIV/0!</v>
      </c>
      <c r="E40" s="381" t="e">
        <f>FORMAT_HAR_I!CA40</f>
        <v>#DIV/0!</v>
      </c>
      <c r="F40" s="286" t="e">
        <f>0.01*FORMAT_HAR_I!AK40*C40*1000</f>
        <v>#DIV/0!</v>
      </c>
      <c r="G40" s="231" t="e">
        <f t="shared" si="1"/>
        <v>#DIV/0!</v>
      </c>
      <c r="H40" s="231">
        <f t="shared" si="21"/>
        <v>0.220444</v>
      </c>
      <c r="I40" s="358">
        <f t="shared" si="17"/>
        <v>0.12345165189097035</v>
      </c>
      <c r="J40" s="276"/>
      <c r="K40" s="199">
        <f t="shared" si="18"/>
        <v>5.0000000000000001E-3</v>
      </c>
      <c r="L40" s="282" t="e">
        <f t="shared" si="4"/>
        <v>#DIV/0!</v>
      </c>
      <c r="M40" s="286" t="e">
        <f>0.01*FORMAT_HAR_I!BU40*C40*1000</f>
        <v>#DIV/0!</v>
      </c>
      <c r="N40" s="231" t="e">
        <f t="shared" si="5"/>
        <v>#DIV/0!</v>
      </c>
      <c r="O40" s="231">
        <f t="shared" si="22"/>
        <v>0.220444</v>
      </c>
      <c r="P40" s="358">
        <f t="shared" si="7"/>
        <v>0.12345165189097035</v>
      </c>
      <c r="Q40" s="276"/>
      <c r="R40" s="199">
        <f t="shared" si="19"/>
        <v>5.0000000000000001E-3</v>
      </c>
      <c r="S40" s="552" t="e">
        <f t="shared" si="9"/>
        <v>#DIV/0!</v>
      </c>
      <c r="T40" s="541" t="e">
        <f t="shared" si="10"/>
        <v>#DIV/0!</v>
      </c>
      <c r="U40" s="538">
        <f t="shared" si="11"/>
        <v>0.25555</v>
      </c>
      <c r="V40" s="459">
        <f t="shared" si="20"/>
        <v>7.5</v>
      </c>
      <c r="W40" s="463" t="e">
        <f t="shared" si="13"/>
        <v>#DIV/0!</v>
      </c>
      <c r="X40" s="316" t="e">
        <f t="shared" si="14"/>
        <v>#DIV/0!</v>
      </c>
      <c r="Y40" s="319" t="e">
        <f t="shared" si="15"/>
        <v>#DIV/0!</v>
      </c>
      <c r="Z40" s="316" t="e">
        <f t="shared" si="16"/>
        <v>#DIV/0!</v>
      </c>
    </row>
    <row r="41" spans="1:26" ht="12.9" customHeight="1">
      <c r="A41" s="116">
        <f t="shared" si="0"/>
        <v>1850</v>
      </c>
      <c r="B41" s="365">
        <v>37</v>
      </c>
      <c r="C41" s="44">
        <f>FORMAT_HAR_I!C41</f>
        <v>6.0810000000000003E-2</v>
      </c>
      <c r="D41" s="361" t="e">
        <f>FORMAT_HAR_I!BX41</f>
        <v>#DIV/0!</v>
      </c>
      <c r="E41" s="381" t="e">
        <f>FORMAT_HAR_I!CA41</f>
        <v>#DIV/0!</v>
      </c>
      <c r="F41" s="286" t="e">
        <f>0.01*FORMAT_HAR_I!AK41*C41*1000</f>
        <v>#DIV/0!</v>
      </c>
      <c r="G41" s="231" t="e">
        <f t="shared" si="1"/>
        <v>#DIV/0!</v>
      </c>
      <c r="H41" s="231">
        <f t="shared" si="21"/>
        <v>0.224324</v>
      </c>
      <c r="I41" s="358">
        <f t="shared" si="17"/>
        <v>0.14688113777127582</v>
      </c>
      <c r="J41" s="276"/>
      <c r="K41" s="199">
        <f t="shared" si="18"/>
        <v>5.0000000000000001E-3</v>
      </c>
      <c r="L41" s="282" t="e">
        <f t="shared" si="4"/>
        <v>#DIV/0!</v>
      </c>
      <c r="M41" s="286" t="e">
        <f>0.01*FORMAT_HAR_I!BU41*C41*1000</f>
        <v>#DIV/0!</v>
      </c>
      <c r="N41" s="231" t="e">
        <f t="shared" si="5"/>
        <v>#DIV/0!</v>
      </c>
      <c r="O41" s="231">
        <f t="shared" si="22"/>
        <v>0.224324</v>
      </c>
      <c r="P41" s="358">
        <f t="shared" si="7"/>
        <v>0.14688113777127582</v>
      </c>
      <c r="Q41" s="276"/>
      <c r="R41" s="199">
        <f t="shared" si="19"/>
        <v>5.0000000000000001E-3</v>
      </c>
      <c r="S41" s="552" t="e">
        <f t="shared" si="9"/>
        <v>#DIV/0!</v>
      </c>
      <c r="T41" s="541" t="e">
        <f t="shared" si="10"/>
        <v>#DIV/0!</v>
      </c>
      <c r="U41" s="538">
        <f t="shared" si="11"/>
        <v>0.30405000000000004</v>
      </c>
      <c r="V41" s="459">
        <f t="shared" si="20"/>
        <v>7.5</v>
      </c>
      <c r="W41" s="463" t="e">
        <f t="shared" si="13"/>
        <v>#DIV/0!</v>
      </c>
      <c r="X41" s="316" t="e">
        <f t="shared" si="14"/>
        <v>#DIV/0!</v>
      </c>
      <c r="Y41" s="319" t="e">
        <f t="shared" si="15"/>
        <v>#DIV/0!</v>
      </c>
      <c r="Z41" s="316" t="e">
        <f t="shared" si="16"/>
        <v>#DIV/0!</v>
      </c>
    </row>
    <row r="42" spans="1:26" ht="12.9" customHeight="1">
      <c r="A42" s="116">
        <f t="shared" si="0"/>
        <v>1900</v>
      </c>
      <c r="B42" s="365">
        <v>38</v>
      </c>
      <c r="C42" s="44">
        <f>FORMAT_HAR_I!C42</f>
        <v>4.8419999999999998E-2</v>
      </c>
      <c r="D42" s="361" t="e">
        <f>FORMAT_HAR_I!BX42</f>
        <v>#DIV/0!</v>
      </c>
      <c r="E42" s="381" t="e">
        <f>FORMAT_HAR_I!CA42</f>
        <v>#DIV/0!</v>
      </c>
      <c r="F42" s="286" t="e">
        <f>0.01*FORMAT_HAR_I!AK42*C42*1000</f>
        <v>#DIV/0!</v>
      </c>
      <c r="G42" s="231" t="e">
        <f t="shared" si="1"/>
        <v>#DIV/0!</v>
      </c>
      <c r="H42" s="231">
        <f t="shared" si="21"/>
        <v>0.21936800000000001</v>
      </c>
      <c r="I42" s="358">
        <f t="shared" si="17"/>
        <v>0.11695419652828769</v>
      </c>
      <c r="J42" s="276"/>
      <c r="K42" s="199">
        <f t="shared" si="18"/>
        <v>5.0000000000000001E-3</v>
      </c>
      <c r="L42" s="282" t="e">
        <f t="shared" si="4"/>
        <v>#DIV/0!</v>
      </c>
      <c r="M42" s="286" t="e">
        <f>0.01*FORMAT_HAR_I!BU42*C42*1000</f>
        <v>#DIV/0!</v>
      </c>
      <c r="N42" s="231" t="e">
        <f t="shared" si="5"/>
        <v>#DIV/0!</v>
      </c>
      <c r="O42" s="231">
        <f t="shared" si="22"/>
        <v>0.21936800000000001</v>
      </c>
      <c r="P42" s="358">
        <f t="shared" si="7"/>
        <v>0.11695419652828769</v>
      </c>
      <c r="Q42" s="276"/>
      <c r="R42" s="199">
        <f t="shared" si="19"/>
        <v>5.0000000000000001E-3</v>
      </c>
      <c r="S42" s="552" t="e">
        <f t="shared" si="9"/>
        <v>#DIV/0!</v>
      </c>
      <c r="T42" s="541" t="e">
        <f t="shared" si="10"/>
        <v>#DIV/0!</v>
      </c>
      <c r="U42" s="538">
        <f t="shared" si="11"/>
        <v>0.24210000000000001</v>
      </c>
      <c r="V42" s="459">
        <f t="shared" si="20"/>
        <v>7.5</v>
      </c>
      <c r="W42" s="463" t="e">
        <f t="shared" si="13"/>
        <v>#DIV/0!</v>
      </c>
      <c r="X42" s="316" t="e">
        <f t="shared" si="14"/>
        <v>#DIV/0!</v>
      </c>
      <c r="Y42" s="319" t="e">
        <f t="shared" si="15"/>
        <v>#DIV/0!</v>
      </c>
      <c r="Z42" s="316" t="e">
        <f t="shared" si="16"/>
        <v>#DIV/0!</v>
      </c>
    </row>
    <row r="43" spans="1:26" ht="12.9" customHeight="1">
      <c r="A43" s="116">
        <f t="shared" si="0"/>
        <v>1950</v>
      </c>
      <c r="B43" s="365">
        <v>39</v>
      </c>
      <c r="C43" s="44">
        <f>FORMAT_HAR_I!C43</f>
        <v>5.7689999999999998E-2</v>
      </c>
      <c r="D43" s="361" t="e">
        <f>FORMAT_HAR_I!BX43</f>
        <v>#DIV/0!</v>
      </c>
      <c r="E43" s="381" t="e">
        <f>FORMAT_HAR_I!CA43</f>
        <v>#DIV/0!</v>
      </c>
      <c r="F43" s="286" t="e">
        <f>0.01*FORMAT_HAR_I!AK43*C43*1000</f>
        <v>#DIV/0!</v>
      </c>
      <c r="G43" s="231" t="e">
        <f t="shared" si="1"/>
        <v>#DIV/0!</v>
      </c>
      <c r="H43" s="231">
        <f t="shared" si="21"/>
        <v>0.223076</v>
      </c>
      <c r="I43" s="358">
        <f t="shared" si="17"/>
        <v>0.13934505571493014</v>
      </c>
      <c r="J43" s="276"/>
      <c r="K43" s="199">
        <f t="shared" si="18"/>
        <v>5.0000000000000001E-3</v>
      </c>
      <c r="L43" s="282" t="e">
        <f t="shared" si="4"/>
        <v>#DIV/0!</v>
      </c>
      <c r="M43" s="286" t="e">
        <f>0.01*FORMAT_HAR_I!BU43*C43*1000</f>
        <v>#DIV/0!</v>
      </c>
      <c r="N43" s="231" t="e">
        <f t="shared" si="5"/>
        <v>#DIV/0!</v>
      </c>
      <c r="O43" s="231">
        <f t="shared" si="22"/>
        <v>0.223076</v>
      </c>
      <c r="P43" s="358">
        <f t="shared" si="7"/>
        <v>0.13934505571493014</v>
      </c>
      <c r="Q43" s="276"/>
      <c r="R43" s="199">
        <f t="shared" si="19"/>
        <v>5.0000000000000001E-3</v>
      </c>
      <c r="S43" s="552" t="e">
        <f t="shared" si="9"/>
        <v>#DIV/0!</v>
      </c>
      <c r="T43" s="541" t="e">
        <f t="shared" si="10"/>
        <v>#DIV/0!</v>
      </c>
      <c r="U43" s="538">
        <f t="shared" si="11"/>
        <v>0.28844999999999998</v>
      </c>
      <c r="V43" s="459">
        <f t="shared" si="20"/>
        <v>7.5</v>
      </c>
      <c r="W43" s="463" t="e">
        <f t="shared" si="13"/>
        <v>#DIV/0!</v>
      </c>
      <c r="X43" s="316" t="e">
        <f t="shared" si="14"/>
        <v>#DIV/0!</v>
      </c>
      <c r="Y43" s="319" t="e">
        <f t="shared" si="15"/>
        <v>#DIV/0!</v>
      </c>
      <c r="Z43" s="316" t="e">
        <f t="shared" si="16"/>
        <v>#DIV/0!</v>
      </c>
    </row>
    <row r="44" spans="1:26" ht="12.9" customHeight="1" thickBot="1">
      <c r="A44" s="120">
        <f t="shared" si="0"/>
        <v>2000</v>
      </c>
      <c r="B44" s="367">
        <v>40</v>
      </c>
      <c r="C44" s="68">
        <f>FORMAT_HAR_I!C44</f>
        <v>4.5999999999999999E-2</v>
      </c>
      <c r="D44" s="384" t="e">
        <f>FORMAT_HAR_I!BX44</f>
        <v>#DIV/0!</v>
      </c>
      <c r="E44" s="382" t="e">
        <f>FORMAT_HAR_I!CA44</f>
        <v>#DIV/0!</v>
      </c>
      <c r="F44" s="233" t="e">
        <f>0.01*FORMAT_HAR_I!AK44*C44*1000</f>
        <v>#DIV/0!</v>
      </c>
      <c r="G44" s="212" t="e">
        <f t="shared" si="1"/>
        <v>#DIV/0!</v>
      </c>
      <c r="H44" s="212">
        <f t="shared" si="21"/>
        <v>0.21839999999999998</v>
      </c>
      <c r="I44" s="358">
        <f t="shared" si="17"/>
        <v>0.1111089021127888</v>
      </c>
      <c r="J44" s="278"/>
      <c r="K44" s="211">
        <f t="shared" si="18"/>
        <v>5.0000000000000001E-3</v>
      </c>
      <c r="L44" s="379" t="e">
        <f t="shared" si="4"/>
        <v>#DIV/0!</v>
      </c>
      <c r="M44" s="233" t="e">
        <f>0.01*FORMAT_HAR_I!BU44*C44*1000</f>
        <v>#DIV/0!</v>
      </c>
      <c r="N44" s="212" t="e">
        <f t="shared" si="5"/>
        <v>#DIV/0!</v>
      </c>
      <c r="O44" s="212">
        <f t="shared" si="22"/>
        <v>0.21839999999999998</v>
      </c>
      <c r="P44" s="358">
        <f t="shared" si="7"/>
        <v>0.1111089021127888</v>
      </c>
      <c r="Q44" s="278"/>
      <c r="R44" s="211">
        <f t="shared" si="19"/>
        <v>5.0000000000000001E-3</v>
      </c>
      <c r="S44" s="553" t="e">
        <f t="shared" si="9"/>
        <v>#DIV/0!</v>
      </c>
      <c r="T44" s="542" t="e">
        <f t="shared" si="10"/>
        <v>#DIV/0!</v>
      </c>
      <c r="U44" s="556">
        <f t="shared" si="11"/>
        <v>0.23</v>
      </c>
      <c r="V44" s="460">
        <f t="shared" si="20"/>
        <v>7.5</v>
      </c>
      <c r="W44" s="464" t="e">
        <f t="shared" si="13"/>
        <v>#DIV/0!</v>
      </c>
      <c r="X44" s="317" t="e">
        <f t="shared" si="14"/>
        <v>#DIV/0!</v>
      </c>
      <c r="Y44" s="320" t="e">
        <f t="shared" si="15"/>
        <v>#DIV/0!</v>
      </c>
      <c r="Z44" s="317" t="e">
        <f t="shared" si="16"/>
        <v>#DIV/0!</v>
      </c>
    </row>
    <row r="45" spans="1:26" ht="12.9" customHeight="1">
      <c r="A45" s="113">
        <f t="shared" si="0"/>
        <v>2050</v>
      </c>
      <c r="B45" s="366">
        <v>41</v>
      </c>
      <c r="C45" s="363">
        <f>FORMAT_HAR_I!C45</f>
        <v>2.3E-2</v>
      </c>
      <c r="D45" s="388" t="e">
        <f>FORMAT_HAR_I!BX45</f>
        <v>#DIV/0!</v>
      </c>
      <c r="E45" s="386" t="e">
        <f>FORMAT_HAR_I!CA45</f>
        <v>#DIV/0!</v>
      </c>
      <c r="F45" s="286" t="e">
        <f>0.01*FORMAT_HAR_I!AK45*C45*1000</f>
        <v>#DIV/0!</v>
      </c>
      <c r="G45" s="231" t="e">
        <f t="shared" si="1"/>
        <v>#DIV/0!</v>
      </c>
      <c r="H45" s="231">
        <f t="shared" ref="H45:H54" si="23">1000*(0.0004*C45+0.0002)</f>
        <v>0.20920000000000002</v>
      </c>
      <c r="I45" s="276">
        <f t="shared" ref="I45:I54" si="24">1000*C45*$H$58*0.01</f>
        <v>2.3035485135429107E-2</v>
      </c>
      <c r="J45" s="276"/>
      <c r="K45" s="231">
        <f t="shared" ref="K45:K53" si="25">1000*0.00001/2</f>
        <v>5.0000000000000001E-3</v>
      </c>
      <c r="L45" s="355" t="e">
        <f t="shared" ref="L45:L54" si="26">2*(G45^2+I45^2/4+J45^2/3+K45^2/3)^0.5</f>
        <v>#DIV/0!</v>
      </c>
      <c r="M45" s="305" t="e">
        <f>0.01*FORMAT_HAR_I!BU45*C45*1000</f>
        <v>#DIV/0!</v>
      </c>
      <c r="N45" s="231" t="e">
        <f t="shared" ref="N45:N54" si="27">M45/10^0.5</f>
        <v>#DIV/0!</v>
      </c>
      <c r="O45" s="231">
        <f t="shared" ref="O45:O54" si="28">1000*(0.0004*C45+0.0002)</f>
        <v>0.20920000000000002</v>
      </c>
      <c r="P45" s="276">
        <f>1000*C45*$O$58*0.01</f>
        <v>2.3035485135429107E-2</v>
      </c>
      <c r="Q45" s="276"/>
      <c r="R45" s="199">
        <f t="shared" ref="R45:R54" si="29">1000*0.00001/2</f>
        <v>5.0000000000000001E-3</v>
      </c>
      <c r="S45" s="554" t="e">
        <f t="shared" si="9"/>
        <v>#DIV/0!</v>
      </c>
      <c r="T45" s="530" t="e">
        <f t="shared" si="10"/>
        <v>#DIV/0!</v>
      </c>
      <c r="U45" s="538">
        <f t="shared" si="11"/>
        <v>0.115</v>
      </c>
      <c r="V45" s="461">
        <f>0.0015*5*1000</f>
        <v>7.5</v>
      </c>
      <c r="W45" s="463" t="e">
        <f t="shared" ref="W45:W54" si="30">IF(ABS(D45)&lt;U45,TRUE,FALSE)</f>
        <v>#DIV/0!</v>
      </c>
      <c r="X45" s="316" t="e">
        <f t="shared" ref="X45:X54" si="31">IF(ABS(E45)&lt;U45,TRUE,FALSE)</f>
        <v>#DIV/0!</v>
      </c>
      <c r="Y45" s="319" t="e">
        <f t="shared" ref="Y45:Y54" si="32">IF(ABS(D45)&lt;V45,TRUE,FALSE)</f>
        <v>#DIV/0!</v>
      </c>
      <c r="Z45" s="316" t="e">
        <f t="shared" ref="Z45:Z54" si="33">IF(ABS(E45)&lt;V45,TRUE,FALSE)</f>
        <v>#DIV/0!</v>
      </c>
    </row>
    <row r="46" spans="1:26" ht="12.9" customHeight="1">
      <c r="A46" s="116">
        <f t="shared" si="0"/>
        <v>2100</v>
      </c>
      <c r="B46" s="365">
        <v>42</v>
      </c>
      <c r="C46" s="44">
        <f>FORMAT_HAR_I!C46</f>
        <v>2.3E-2</v>
      </c>
      <c r="D46" s="388" t="e">
        <f>FORMAT_HAR_I!BX46</f>
        <v>#DIV/0!</v>
      </c>
      <c r="E46" s="386" t="e">
        <f>FORMAT_HAR_I!CA46</f>
        <v>#DIV/0!</v>
      </c>
      <c r="F46" s="286" t="e">
        <f>0.01*FORMAT_HAR_I!AK46*C46*1000</f>
        <v>#DIV/0!</v>
      </c>
      <c r="G46" s="231" t="e">
        <f t="shared" si="1"/>
        <v>#DIV/0!</v>
      </c>
      <c r="H46" s="231">
        <f t="shared" si="23"/>
        <v>0.20920000000000002</v>
      </c>
      <c r="I46" s="276">
        <f t="shared" si="24"/>
        <v>2.3035485135429107E-2</v>
      </c>
      <c r="J46" s="276"/>
      <c r="K46" s="199">
        <f t="shared" si="25"/>
        <v>5.0000000000000001E-3</v>
      </c>
      <c r="L46" s="355" t="e">
        <f t="shared" si="26"/>
        <v>#DIV/0!</v>
      </c>
      <c r="M46" s="305" t="e">
        <f>0.01*FORMAT_HAR_I!BU46*C46*1000</f>
        <v>#DIV/0!</v>
      </c>
      <c r="N46" s="231" t="e">
        <f t="shared" si="27"/>
        <v>#DIV/0!</v>
      </c>
      <c r="O46" s="231">
        <f t="shared" si="28"/>
        <v>0.20920000000000002</v>
      </c>
      <c r="P46" s="276">
        <f t="shared" ref="P46:P54" si="34">1000*C46*$O$58*0.01</f>
        <v>2.3035485135429107E-2</v>
      </c>
      <c r="Q46" s="276"/>
      <c r="R46" s="199">
        <f t="shared" si="29"/>
        <v>5.0000000000000001E-3</v>
      </c>
      <c r="S46" s="554" t="e">
        <f t="shared" si="9"/>
        <v>#DIV/0!</v>
      </c>
      <c r="T46" s="541" t="e">
        <f t="shared" si="10"/>
        <v>#DIV/0!</v>
      </c>
      <c r="U46" s="538">
        <f t="shared" si="11"/>
        <v>0.115</v>
      </c>
      <c r="V46" s="461">
        <f t="shared" ref="V46:V54" si="35">0.0015*5*1000</f>
        <v>7.5</v>
      </c>
      <c r="W46" s="463" t="e">
        <f t="shared" si="30"/>
        <v>#DIV/0!</v>
      </c>
      <c r="X46" s="316" t="e">
        <f t="shared" si="31"/>
        <v>#DIV/0!</v>
      </c>
      <c r="Y46" s="319" t="e">
        <f t="shared" si="32"/>
        <v>#DIV/0!</v>
      </c>
      <c r="Z46" s="316" t="e">
        <f t="shared" si="33"/>
        <v>#DIV/0!</v>
      </c>
    </row>
    <row r="47" spans="1:26" ht="12.9" customHeight="1">
      <c r="A47" s="116">
        <f t="shared" si="0"/>
        <v>2150</v>
      </c>
      <c r="B47" s="365">
        <v>43</v>
      </c>
      <c r="C47" s="44">
        <f>FORMAT_HAR_I!C47</f>
        <v>2.3E-2</v>
      </c>
      <c r="D47" s="388" t="e">
        <f>FORMAT_HAR_I!BX47</f>
        <v>#DIV/0!</v>
      </c>
      <c r="E47" s="386" t="e">
        <f>FORMAT_HAR_I!CA47</f>
        <v>#DIV/0!</v>
      </c>
      <c r="F47" s="286" t="e">
        <f>0.01*FORMAT_HAR_I!AK47*C47*1000</f>
        <v>#DIV/0!</v>
      </c>
      <c r="G47" s="231" t="e">
        <f t="shared" si="1"/>
        <v>#DIV/0!</v>
      </c>
      <c r="H47" s="231">
        <f t="shared" si="23"/>
        <v>0.20920000000000002</v>
      </c>
      <c r="I47" s="276">
        <f t="shared" si="24"/>
        <v>2.3035485135429107E-2</v>
      </c>
      <c r="J47" s="276"/>
      <c r="K47" s="199">
        <f t="shared" si="25"/>
        <v>5.0000000000000001E-3</v>
      </c>
      <c r="L47" s="355" t="e">
        <f t="shared" si="26"/>
        <v>#DIV/0!</v>
      </c>
      <c r="M47" s="305" t="e">
        <f>0.01*FORMAT_HAR_I!BU47*C47*1000</f>
        <v>#DIV/0!</v>
      </c>
      <c r="N47" s="231" t="e">
        <f t="shared" si="27"/>
        <v>#DIV/0!</v>
      </c>
      <c r="O47" s="231">
        <f t="shared" si="28"/>
        <v>0.20920000000000002</v>
      </c>
      <c r="P47" s="276">
        <f t="shared" si="34"/>
        <v>2.3035485135429107E-2</v>
      </c>
      <c r="Q47" s="276"/>
      <c r="R47" s="199">
        <f t="shared" si="29"/>
        <v>5.0000000000000001E-3</v>
      </c>
      <c r="S47" s="554" t="e">
        <f t="shared" si="9"/>
        <v>#DIV/0!</v>
      </c>
      <c r="T47" s="541" t="e">
        <f t="shared" si="10"/>
        <v>#DIV/0!</v>
      </c>
      <c r="U47" s="538">
        <f t="shared" si="11"/>
        <v>0.115</v>
      </c>
      <c r="V47" s="461">
        <f t="shared" si="35"/>
        <v>7.5</v>
      </c>
      <c r="W47" s="463" t="e">
        <f t="shared" si="30"/>
        <v>#DIV/0!</v>
      </c>
      <c r="X47" s="316" t="e">
        <f t="shared" si="31"/>
        <v>#DIV/0!</v>
      </c>
      <c r="Y47" s="319" t="e">
        <f t="shared" si="32"/>
        <v>#DIV/0!</v>
      </c>
      <c r="Z47" s="316" t="e">
        <f t="shared" si="33"/>
        <v>#DIV/0!</v>
      </c>
    </row>
    <row r="48" spans="1:26" ht="12.9" customHeight="1">
      <c r="A48" s="116">
        <f t="shared" si="0"/>
        <v>2200</v>
      </c>
      <c r="B48" s="365">
        <v>44</v>
      </c>
      <c r="C48" s="44">
        <f>FORMAT_HAR_I!C48</f>
        <v>2.3E-2</v>
      </c>
      <c r="D48" s="388" t="e">
        <f>FORMAT_HAR_I!BX48</f>
        <v>#DIV/0!</v>
      </c>
      <c r="E48" s="386" t="e">
        <f>FORMAT_HAR_I!CA48</f>
        <v>#DIV/0!</v>
      </c>
      <c r="F48" s="286" t="e">
        <f>0.01*FORMAT_HAR_I!AK48*C48*1000</f>
        <v>#DIV/0!</v>
      </c>
      <c r="G48" s="231" t="e">
        <f t="shared" si="1"/>
        <v>#DIV/0!</v>
      </c>
      <c r="H48" s="231">
        <f t="shared" si="23"/>
        <v>0.20920000000000002</v>
      </c>
      <c r="I48" s="276">
        <f t="shared" si="24"/>
        <v>2.3035485135429107E-2</v>
      </c>
      <c r="J48" s="276"/>
      <c r="K48" s="199">
        <f t="shared" si="25"/>
        <v>5.0000000000000001E-3</v>
      </c>
      <c r="L48" s="355" t="e">
        <f t="shared" si="26"/>
        <v>#DIV/0!</v>
      </c>
      <c r="M48" s="305" t="e">
        <f>0.01*FORMAT_HAR_I!BU48*C48*1000</f>
        <v>#DIV/0!</v>
      </c>
      <c r="N48" s="231" t="e">
        <f t="shared" si="27"/>
        <v>#DIV/0!</v>
      </c>
      <c r="O48" s="231">
        <f t="shared" si="28"/>
        <v>0.20920000000000002</v>
      </c>
      <c r="P48" s="276">
        <f t="shared" si="34"/>
        <v>2.3035485135429107E-2</v>
      </c>
      <c r="Q48" s="276"/>
      <c r="R48" s="199">
        <f t="shared" si="29"/>
        <v>5.0000000000000001E-3</v>
      </c>
      <c r="S48" s="554" t="e">
        <f t="shared" si="9"/>
        <v>#DIV/0!</v>
      </c>
      <c r="T48" s="541" t="e">
        <f t="shared" si="10"/>
        <v>#DIV/0!</v>
      </c>
      <c r="U48" s="538">
        <f t="shared" si="11"/>
        <v>0.115</v>
      </c>
      <c r="V48" s="461">
        <f t="shared" si="35"/>
        <v>7.5</v>
      </c>
      <c r="W48" s="463" t="e">
        <f t="shared" si="30"/>
        <v>#DIV/0!</v>
      </c>
      <c r="X48" s="316" t="e">
        <f t="shared" si="31"/>
        <v>#DIV/0!</v>
      </c>
      <c r="Y48" s="319" t="e">
        <f t="shared" si="32"/>
        <v>#DIV/0!</v>
      </c>
      <c r="Z48" s="316" t="e">
        <f t="shared" si="33"/>
        <v>#DIV/0!</v>
      </c>
    </row>
    <row r="49" spans="1:26" ht="12.9" customHeight="1">
      <c r="A49" s="116">
        <f t="shared" si="0"/>
        <v>2250</v>
      </c>
      <c r="B49" s="365">
        <v>45</v>
      </c>
      <c r="C49" s="44">
        <f>FORMAT_HAR_I!C49</f>
        <v>2.3E-2</v>
      </c>
      <c r="D49" s="388" t="e">
        <f>FORMAT_HAR_I!BX49</f>
        <v>#DIV/0!</v>
      </c>
      <c r="E49" s="386" t="e">
        <f>FORMAT_HAR_I!CA49</f>
        <v>#DIV/0!</v>
      </c>
      <c r="F49" s="286" t="e">
        <f>0.01*FORMAT_HAR_I!AK49*C49*1000</f>
        <v>#DIV/0!</v>
      </c>
      <c r="G49" s="231" t="e">
        <f t="shared" si="1"/>
        <v>#DIV/0!</v>
      </c>
      <c r="H49" s="231">
        <f t="shared" si="23"/>
        <v>0.20920000000000002</v>
      </c>
      <c r="I49" s="276">
        <f t="shared" si="24"/>
        <v>2.3035485135429107E-2</v>
      </c>
      <c r="J49" s="276"/>
      <c r="K49" s="199">
        <f t="shared" si="25"/>
        <v>5.0000000000000001E-3</v>
      </c>
      <c r="L49" s="355" t="e">
        <f t="shared" si="26"/>
        <v>#DIV/0!</v>
      </c>
      <c r="M49" s="305" t="e">
        <f>0.01*FORMAT_HAR_I!BU49*C49*1000</f>
        <v>#DIV/0!</v>
      </c>
      <c r="N49" s="231" t="e">
        <f t="shared" si="27"/>
        <v>#DIV/0!</v>
      </c>
      <c r="O49" s="231">
        <f t="shared" si="28"/>
        <v>0.20920000000000002</v>
      </c>
      <c r="P49" s="276">
        <f t="shared" si="34"/>
        <v>2.3035485135429107E-2</v>
      </c>
      <c r="Q49" s="276"/>
      <c r="R49" s="199">
        <f t="shared" si="29"/>
        <v>5.0000000000000001E-3</v>
      </c>
      <c r="S49" s="554" t="e">
        <f t="shared" si="9"/>
        <v>#DIV/0!</v>
      </c>
      <c r="T49" s="541" t="e">
        <f t="shared" si="10"/>
        <v>#DIV/0!</v>
      </c>
      <c r="U49" s="538">
        <f t="shared" si="11"/>
        <v>0.115</v>
      </c>
      <c r="V49" s="461">
        <f t="shared" si="35"/>
        <v>7.5</v>
      </c>
      <c r="W49" s="463" t="e">
        <f t="shared" si="30"/>
        <v>#DIV/0!</v>
      </c>
      <c r="X49" s="316" t="e">
        <f t="shared" si="31"/>
        <v>#DIV/0!</v>
      </c>
      <c r="Y49" s="319" t="e">
        <f t="shared" si="32"/>
        <v>#DIV/0!</v>
      </c>
      <c r="Z49" s="316" t="e">
        <f t="shared" si="33"/>
        <v>#DIV/0!</v>
      </c>
    </row>
    <row r="50" spans="1:26" ht="12.9" customHeight="1">
      <c r="A50" s="116">
        <f t="shared" si="0"/>
        <v>2300</v>
      </c>
      <c r="B50" s="365">
        <v>46</v>
      </c>
      <c r="C50" s="44">
        <f>FORMAT_HAR_I!C50</f>
        <v>2.3E-2</v>
      </c>
      <c r="D50" s="388" t="e">
        <f>FORMAT_HAR_I!BX50</f>
        <v>#DIV/0!</v>
      </c>
      <c r="E50" s="386" t="e">
        <f>FORMAT_HAR_I!CA50</f>
        <v>#DIV/0!</v>
      </c>
      <c r="F50" s="286" t="e">
        <f>0.01*FORMAT_HAR_I!AK50*C50*1000</f>
        <v>#DIV/0!</v>
      </c>
      <c r="G50" s="231" t="e">
        <f t="shared" si="1"/>
        <v>#DIV/0!</v>
      </c>
      <c r="H50" s="231">
        <f t="shared" si="23"/>
        <v>0.20920000000000002</v>
      </c>
      <c r="I50" s="276">
        <f t="shared" si="24"/>
        <v>2.3035485135429107E-2</v>
      </c>
      <c r="J50" s="276"/>
      <c r="K50" s="199">
        <f t="shared" si="25"/>
        <v>5.0000000000000001E-3</v>
      </c>
      <c r="L50" s="355" t="e">
        <f t="shared" si="26"/>
        <v>#DIV/0!</v>
      </c>
      <c r="M50" s="305" t="e">
        <f>0.01*FORMAT_HAR_I!BU50*C50*1000</f>
        <v>#DIV/0!</v>
      </c>
      <c r="N50" s="231" t="e">
        <f t="shared" si="27"/>
        <v>#DIV/0!</v>
      </c>
      <c r="O50" s="231">
        <f t="shared" si="28"/>
        <v>0.20920000000000002</v>
      </c>
      <c r="P50" s="276">
        <f t="shared" si="34"/>
        <v>2.3035485135429107E-2</v>
      </c>
      <c r="Q50" s="276"/>
      <c r="R50" s="199">
        <f t="shared" si="29"/>
        <v>5.0000000000000001E-3</v>
      </c>
      <c r="S50" s="554" t="e">
        <f t="shared" si="9"/>
        <v>#DIV/0!</v>
      </c>
      <c r="T50" s="541" t="e">
        <f t="shared" si="10"/>
        <v>#DIV/0!</v>
      </c>
      <c r="U50" s="538">
        <f t="shared" si="11"/>
        <v>0.115</v>
      </c>
      <c r="V50" s="461">
        <f t="shared" si="35"/>
        <v>7.5</v>
      </c>
      <c r="W50" s="463" t="e">
        <f t="shared" si="30"/>
        <v>#DIV/0!</v>
      </c>
      <c r="X50" s="316" t="e">
        <f t="shared" si="31"/>
        <v>#DIV/0!</v>
      </c>
      <c r="Y50" s="319" t="e">
        <f t="shared" si="32"/>
        <v>#DIV/0!</v>
      </c>
      <c r="Z50" s="316" t="e">
        <f t="shared" si="33"/>
        <v>#DIV/0!</v>
      </c>
    </row>
    <row r="51" spans="1:26" ht="12.9" customHeight="1">
      <c r="A51" s="116">
        <f t="shared" si="0"/>
        <v>2350</v>
      </c>
      <c r="B51" s="365">
        <v>47</v>
      </c>
      <c r="C51" s="44">
        <f>FORMAT_HAR_I!C51</f>
        <v>2.3E-2</v>
      </c>
      <c r="D51" s="388" t="e">
        <f>FORMAT_HAR_I!BX51</f>
        <v>#DIV/0!</v>
      </c>
      <c r="E51" s="386" t="e">
        <f>FORMAT_HAR_I!CA51</f>
        <v>#DIV/0!</v>
      </c>
      <c r="F51" s="286" t="e">
        <f>0.01*FORMAT_HAR_I!AK51*C51*1000</f>
        <v>#DIV/0!</v>
      </c>
      <c r="G51" s="231" t="e">
        <f t="shared" si="1"/>
        <v>#DIV/0!</v>
      </c>
      <c r="H51" s="231">
        <f t="shared" si="23"/>
        <v>0.20920000000000002</v>
      </c>
      <c r="I51" s="276">
        <f t="shared" si="24"/>
        <v>2.3035485135429107E-2</v>
      </c>
      <c r="J51" s="276"/>
      <c r="K51" s="199">
        <f t="shared" si="25"/>
        <v>5.0000000000000001E-3</v>
      </c>
      <c r="L51" s="355" t="e">
        <f t="shared" si="26"/>
        <v>#DIV/0!</v>
      </c>
      <c r="M51" s="305" t="e">
        <f>0.01*FORMAT_HAR_I!BU51*C51*1000</f>
        <v>#DIV/0!</v>
      </c>
      <c r="N51" s="231" t="e">
        <f t="shared" si="27"/>
        <v>#DIV/0!</v>
      </c>
      <c r="O51" s="231">
        <f t="shared" si="28"/>
        <v>0.20920000000000002</v>
      </c>
      <c r="P51" s="276">
        <f t="shared" si="34"/>
        <v>2.3035485135429107E-2</v>
      </c>
      <c r="Q51" s="276"/>
      <c r="R51" s="199">
        <f t="shared" si="29"/>
        <v>5.0000000000000001E-3</v>
      </c>
      <c r="S51" s="554" t="e">
        <f t="shared" si="9"/>
        <v>#DIV/0!</v>
      </c>
      <c r="T51" s="541" t="e">
        <f t="shared" si="10"/>
        <v>#DIV/0!</v>
      </c>
      <c r="U51" s="538">
        <f t="shared" si="11"/>
        <v>0.115</v>
      </c>
      <c r="V51" s="461">
        <f t="shared" si="35"/>
        <v>7.5</v>
      </c>
      <c r="W51" s="463" t="e">
        <f t="shared" si="30"/>
        <v>#DIV/0!</v>
      </c>
      <c r="X51" s="316" t="e">
        <f t="shared" si="31"/>
        <v>#DIV/0!</v>
      </c>
      <c r="Y51" s="319" t="e">
        <f t="shared" si="32"/>
        <v>#DIV/0!</v>
      </c>
      <c r="Z51" s="316" t="e">
        <f t="shared" si="33"/>
        <v>#DIV/0!</v>
      </c>
    </row>
    <row r="52" spans="1:26" ht="12.9" customHeight="1">
      <c r="A52" s="116">
        <f t="shared" si="0"/>
        <v>2400</v>
      </c>
      <c r="B52" s="365">
        <v>48</v>
      </c>
      <c r="C52" s="44">
        <f>FORMAT_HAR_I!C52</f>
        <v>2.3E-2</v>
      </c>
      <c r="D52" s="388" t="e">
        <f>FORMAT_HAR_I!BX52</f>
        <v>#DIV/0!</v>
      </c>
      <c r="E52" s="386" t="e">
        <f>FORMAT_HAR_I!CA52</f>
        <v>#DIV/0!</v>
      </c>
      <c r="F52" s="286" t="e">
        <f>0.01*FORMAT_HAR_I!AK52*C52*1000</f>
        <v>#DIV/0!</v>
      </c>
      <c r="G52" s="231" t="e">
        <f t="shared" si="1"/>
        <v>#DIV/0!</v>
      </c>
      <c r="H52" s="231">
        <f t="shared" si="23"/>
        <v>0.20920000000000002</v>
      </c>
      <c r="I52" s="276">
        <f t="shared" si="24"/>
        <v>2.3035485135429107E-2</v>
      </c>
      <c r="J52" s="276"/>
      <c r="K52" s="199">
        <f t="shared" si="25"/>
        <v>5.0000000000000001E-3</v>
      </c>
      <c r="L52" s="355" t="e">
        <f t="shared" si="26"/>
        <v>#DIV/0!</v>
      </c>
      <c r="M52" s="305" t="e">
        <f>0.01*FORMAT_HAR_I!BU52*C52*1000</f>
        <v>#DIV/0!</v>
      </c>
      <c r="N52" s="231" t="e">
        <f t="shared" si="27"/>
        <v>#DIV/0!</v>
      </c>
      <c r="O52" s="231">
        <f t="shared" si="28"/>
        <v>0.20920000000000002</v>
      </c>
      <c r="P52" s="276">
        <f t="shared" si="34"/>
        <v>2.3035485135429107E-2</v>
      </c>
      <c r="Q52" s="276"/>
      <c r="R52" s="199">
        <f t="shared" si="29"/>
        <v>5.0000000000000001E-3</v>
      </c>
      <c r="S52" s="554" t="e">
        <f t="shared" si="9"/>
        <v>#DIV/0!</v>
      </c>
      <c r="T52" s="541" t="e">
        <f t="shared" si="10"/>
        <v>#DIV/0!</v>
      </c>
      <c r="U52" s="538">
        <f t="shared" si="11"/>
        <v>0.115</v>
      </c>
      <c r="V52" s="461">
        <f t="shared" si="35"/>
        <v>7.5</v>
      </c>
      <c r="W52" s="463" t="e">
        <f t="shared" si="30"/>
        <v>#DIV/0!</v>
      </c>
      <c r="X52" s="316" t="e">
        <f t="shared" si="31"/>
        <v>#DIV/0!</v>
      </c>
      <c r="Y52" s="319" t="e">
        <f t="shared" si="32"/>
        <v>#DIV/0!</v>
      </c>
      <c r="Z52" s="316" t="e">
        <f t="shared" si="33"/>
        <v>#DIV/0!</v>
      </c>
    </row>
    <row r="53" spans="1:26" ht="12.9" customHeight="1">
      <c r="A53" s="116">
        <f t="shared" si="0"/>
        <v>2450</v>
      </c>
      <c r="B53" s="365">
        <v>49</v>
      </c>
      <c r="C53" s="44">
        <f>FORMAT_HAR_I!C53</f>
        <v>2.3E-2</v>
      </c>
      <c r="D53" s="388" t="e">
        <f>FORMAT_HAR_I!BX53</f>
        <v>#DIV/0!</v>
      </c>
      <c r="E53" s="386" t="e">
        <f>FORMAT_HAR_I!CA53</f>
        <v>#DIV/0!</v>
      </c>
      <c r="F53" s="286" t="e">
        <f>0.01*FORMAT_HAR_I!AK53*C53*1000</f>
        <v>#DIV/0!</v>
      </c>
      <c r="G53" s="231" t="e">
        <f t="shared" si="1"/>
        <v>#DIV/0!</v>
      </c>
      <c r="H53" s="231">
        <f t="shared" si="23"/>
        <v>0.20920000000000002</v>
      </c>
      <c r="I53" s="276">
        <f t="shared" si="24"/>
        <v>2.3035485135429107E-2</v>
      </c>
      <c r="J53" s="276"/>
      <c r="K53" s="199">
        <f t="shared" si="25"/>
        <v>5.0000000000000001E-3</v>
      </c>
      <c r="L53" s="355" t="e">
        <f t="shared" si="26"/>
        <v>#DIV/0!</v>
      </c>
      <c r="M53" s="305" t="e">
        <f>0.01*FORMAT_HAR_I!BU53*C53*1000</f>
        <v>#DIV/0!</v>
      </c>
      <c r="N53" s="231" t="e">
        <f t="shared" si="27"/>
        <v>#DIV/0!</v>
      </c>
      <c r="O53" s="231">
        <f t="shared" si="28"/>
        <v>0.20920000000000002</v>
      </c>
      <c r="P53" s="276">
        <f t="shared" si="34"/>
        <v>2.3035485135429107E-2</v>
      </c>
      <c r="Q53" s="276"/>
      <c r="R53" s="199">
        <f t="shared" si="29"/>
        <v>5.0000000000000001E-3</v>
      </c>
      <c r="S53" s="554" t="e">
        <f t="shared" si="9"/>
        <v>#DIV/0!</v>
      </c>
      <c r="T53" s="541" t="e">
        <f t="shared" si="10"/>
        <v>#DIV/0!</v>
      </c>
      <c r="U53" s="538">
        <f t="shared" si="11"/>
        <v>0.115</v>
      </c>
      <c r="V53" s="461">
        <f t="shared" si="35"/>
        <v>7.5</v>
      </c>
      <c r="W53" s="463" t="e">
        <f t="shared" si="30"/>
        <v>#DIV/0!</v>
      </c>
      <c r="X53" s="316" t="e">
        <f t="shared" si="31"/>
        <v>#DIV/0!</v>
      </c>
      <c r="Y53" s="319" t="e">
        <f t="shared" si="32"/>
        <v>#DIV/0!</v>
      </c>
      <c r="Z53" s="316" t="e">
        <f t="shared" si="33"/>
        <v>#DIV/0!</v>
      </c>
    </row>
    <row r="54" spans="1:26" ht="12.9" customHeight="1" thickBot="1">
      <c r="A54" s="120">
        <f t="shared" si="0"/>
        <v>2500</v>
      </c>
      <c r="B54" s="367">
        <v>50</v>
      </c>
      <c r="C54" s="68">
        <f>FORMAT_HAR_I!C54</f>
        <v>2.3E-2</v>
      </c>
      <c r="D54" s="389" t="e">
        <f>FORMAT_HAR_I!BX54</f>
        <v>#DIV/0!</v>
      </c>
      <c r="E54" s="387" t="e">
        <f>FORMAT_HAR_I!CA54</f>
        <v>#DIV/0!</v>
      </c>
      <c r="F54" s="233" t="e">
        <f>0.01*FORMAT_HAR_I!AK54*C54*1000</f>
        <v>#DIV/0!</v>
      </c>
      <c r="G54" s="212" t="e">
        <f t="shared" si="1"/>
        <v>#DIV/0!</v>
      </c>
      <c r="H54" s="212">
        <f t="shared" si="23"/>
        <v>0.20920000000000002</v>
      </c>
      <c r="I54" s="278">
        <f t="shared" si="24"/>
        <v>2.3035485135429107E-2</v>
      </c>
      <c r="J54" s="278"/>
      <c r="K54" s="211">
        <f t="shared" ref="K54" si="36">1000*0.00001/2</f>
        <v>5.0000000000000001E-3</v>
      </c>
      <c r="L54" s="356" t="e">
        <f t="shared" si="26"/>
        <v>#DIV/0!</v>
      </c>
      <c r="M54" s="233" t="e">
        <f>0.01*FORMAT_HAR_I!BU54*C54*1000</f>
        <v>#DIV/0!</v>
      </c>
      <c r="N54" s="212" t="e">
        <f t="shared" si="27"/>
        <v>#DIV/0!</v>
      </c>
      <c r="O54" s="212">
        <f t="shared" si="28"/>
        <v>0.20920000000000002</v>
      </c>
      <c r="P54" s="278">
        <f t="shared" si="34"/>
        <v>2.3035485135429107E-2</v>
      </c>
      <c r="Q54" s="278"/>
      <c r="R54" s="309">
        <f t="shared" si="29"/>
        <v>5.0000000000000001E-3</v>
      </c>
      <c r="S54" s="555" t="e">
        <f t="shared" si="9"/>
        <v>#DIV/0!</v>
      </c>
      <c r="T54" s="542" t="e">
        <f t="shared" si="10"/>
        <v>#DIV/0!</v>
      </c>
      <c r="U54" s="557">
        <f t="shared" si="11"/>
        <v>0.115</v>
      </c>
      <c r="V54" s="462">
        <f t="shared" si="35"/>
        <v>7.5</v>
      </c>
      <c r="W54" s="466" t="e">
        <f t="shared" si="30"/>
        <v>#DIV/0!</v>
      </c>
      <c r="X54" s="369" t="e">
        <f t="shared" si="31"/>
        <v>#DIV/0!</v>
      </c>
      <c r="Y54" s="457" t="e">
        <f t="shared" si="32"/>
        <v>#DIV/0!</v>
      </c>
      <c r="Z54" s="369" t="e">
        <f t="shared" si="33"/>
        <v>#DIV/0!</v>
      </c>
    </row>
    <row r="55" spans="1:26" ht="12.9" customHeight="1">
      <c r="A55" s="332"/>
      <c r="C55" s="407">
        <f>(C5^2+C6^2+C7^2+C8^2+C9^2+C10^2+C11^2+C12^2+C13^2+C14^2+C15^2+C16^2+C17^2+C18^2+C19^2+C20^2+C21^2+C22^2+C23^2+C24^2+C25^2+C26^2+C27^2+C28^2+C29^2+C30^2+C31^2+C32^2+C33^2+C34^2+C35^2+C36^2+C37^2+C38^2+C39^2+C40^2+C41^2+C42^2+C43^2+C44^2)^0.5</f>
        <v>3.8135254672022318</v>
      </c>
      <c r="F55" s="206" t="s">
        <v>122</v>
      </c>
      <c r="G55" s="279" t="s">
        <v>91</v>
      </c>
      <c r="H55" s="280">
        <f>SUM(H5:H44)</f>
        <v>9.2112310399999977</v>
      </c>
      <c r="N55" s="279" t="s">
        <v>91</v>
      </c>
      <c r="O55" s="280">
        <f>SUM(O5:O44)</f>
        <v>9.2112310399999977</v>
      </c>
      <c r="U55" s="407"/>
      <c r="V55" s="407"/>
      <c r="W55" s="408"/>
      <c r="X55" s="408"/>
      <c r="Y55" s="408"/>
      <c r="Z55" s="408"/>
    </row>
    <row r="56" spans="1:26" ht="12.9" customHeight="1">
      <c r="A56" s="332"/>
      <c r="C56" s="407"/>
      <c r="G56" s="208" t="s">
        <v>51</v>
      </c>
      <c r="H56" s="230">
        <f>0.1*H55/$C$55</f>
        <v>0.24154109154954087</v>
      </c>
      <c r="N56" s="208" t="s">
        <v>51</v>
      </c>
      <c r="O56" s="230">
        <f>0.1*O55/$C$55</f>
        <v>0.24154109154954087</v>
      </c>
      <c r="U56" s="407"/>
      <c r="V56" s="407"/>
      <c r="W56" s="408"/>
      <c r="X56" s="408"/>
      <c r="Y56" s="408"/>
      <c r="Z56" s="408"/>
    </row>
    <row r="57" spans="1:26" ht="12.9" customHeight="1">
      <c r="C57" s="407">
        <f>(C5^2+C45^2+C46^2+C47^2+C48^2+C49^2+C50^2+C51^2+C52^2+C53^2+C54^2)^0.5</f>
        <v>2.3011497126436606</v>
      </c>
      <c r="F57" s="206" t="s">
        <v>123</v>
      </c>
      <c r="G57" s="279" t="s">
        <v>91</v>
      </c>
      <c r="H57" s="280">
        <f>SUM(H45:H54)+H5</f>
        <v>2.3047</v>
      </c>
      <c r="N57" s="279" t="s">
        <v>91</v>
      </c>
      <c r="O57" s="280">
        <f>SUM(O45:O54)+O5</f>
        <v>2.3047</v>
      </c>
    </row>
    <row r="58" spans="1:26" ht="12.9" customHeight="1">
      <c r="G58" s="208" t="s">
        <v>51</v>
      </c>
      <c r="H58" s="230">
        <f>0.1*H57/$C$57</f>
        <v>0.10015428319751785</v>
      </c>
      <c r="N58" s="208" t="s">
        <v>51</v>
      </c>
      <c r="O58" s="230">
        <f>0.1*O57/$C$57</f>
        <v>0.10015428319751785</v>
      </c>
    </row>
    <row r="59" spans="1:26" ht="12" thickBot="1"/>
    <row r="60" spans="1:26" s="77" customFormat="1" ht="15.75" customHeight="1" thickBot="1">
      <c r="B60" s="638" t="s">
        <v>55</v>
      </c>
      <c r="C60" s="639"/>
      <c r="D60" s="639"/>
      <c r="E60" s="640"/>
      <c r="F60" s="619" t="s">
        <v>56</v>
      </c>
      <c r="G60" s="620"/>
      <c r="H60" s="620"/>
      <c r="I60" s="620"/>
      <c r="J60" s="620"/>
      <c r="K60" s="620"/>
      <c r="L60" s="620"/>
      <c r="M60" s="620"/>
      <c r="N60" s="620"/>
      <c r="O60" s="620"/>
      <c r="P60" s="620"/>
      <c r="Q60" s="620"/>
      <c r="R60" s="620"/>
      <c r="S60" s="621"/>
    </row>
    <row r="61" spans="1:26" ht="18" customHeight="1" thickBot="1">
      <c r="B61" s="644" t="s">
        <v>69</v>
      </c>
      <c r="C61" s="645"/>
      <c r="D61" s="633" t="s">
        <v>77</v>
      </c>
      <c r="E61" s="625"/>
      <c r="F61" s="626" t="s">
        <v>47</v>
      </c>
      <c r="G61" s="627"/>
      <c r="H61" s="627"/>
      <c r="I61" s="627"/>
      <c r="J61" s="627"/>
      <c r="K61" s="627"/>
      <c r="L61" s="628"/>
      <c r="M61" s="626" t="s">
        <v>48</v>
      </c>
      <c r="N61" s="627"/>
      <c r="O61" s="627"/>
      <c r="P61" s="627"/>
      <c r="Q61" s="627"/>
      <c r="R61" s="627"/>
      <c r="S61" s="628"/>
      <c r="U61" s="614" t="s">
        <v>109</v>
      </c>
      <c r="V61" s="615"/>
      <c r="W61" s="614" t="s">
        <v>107</v>
      </c>
      <c r="X61" s="615"/>
      <c r="Y61" s="612" t="s">
        <v>108</v>
      </c>
      <c r="Z61" s="615"/>
    </row>
    <row r="62" spans="1:26" ht="24.6" thickBot="1">
      <c r="A62" s="223" t="s">
        <v>70</v>
      </c>
      <c r="B62" s="224" t="s">
        <v>10</v>
      </c>
      <c r="C62" s="225" t="s">
        <v>85</v>
      </c>
      <c r="D62" s="225" t="s">
        <v>75</v>
      </c>
      <c r="E62" s="226" t="s">
        <v>76</v>
      </c>
      <c r="F62" s="218" t="s">
        <v>92</v>
      </c>
      <c r="G62" s="219" t="s">
        <v>93</v>
      </c>
      <c r="H62" s="219" t="s">
        <v>91</v>
      </c>
      <c r="I62" s="291" t="s">
        <v>91</v>
      </c>
      <c r="J62" s="219" t="s">
        <v>94</v>
      </c>
      <c r="K62" s="219" t="s">
        <v>95</v>
      </c>
      <c r="L62" s="220" t="s">
        <v>86</v>
      </c>
      <c r="M62" s="218" t="s">
        <v>92</v>
      </c>
      <c r="N62" s="219" t="s">
        <v>93</v>
      </c>
      <c r="O62" s="219" t="s">
        <v>91</v>
      </c>
      <c r="P62" s="291" t="s">
        <v>91</v>
      </c>
      <c r="Q62" s="219" t="s">
        <v>94</v>
      </c>
      <c r="R62" s="219" t="s">
        <v>95</v>
      </c>
      <c r="S62" s="220" t="s">
        <v>86</v>
      </c>
      <c r="T62" s="540" t="s">
        <v>86</v>
      </c>
      <c r="U62" s="471" t="s">
        <v>104</v>
      </c>
      <c r="V62" s="472" t="s">
        <v>105</v>
      </c>
      <c r="W62" s="314" t="s">
        <v>47</v>
      </c>
      <c r="X62" s="315" t="s">
        <v>48</v>
      </c>
      <c r="Y62" s="318" t="s">
        <v>47</v>
      </c>
      <c r="Z62" s="315" t="s">
        <v>48</v>
      </c>
    </row>
    <row r="63" spans="1:26" ht="12.9" customHeight="1">
      <c r="A63" s="354">
        <f>50*B63</f>
        <v>50</v>
      </c>
      <c r="B63" s="227">
        <v>1</v>
      </c>
      <c r="C63" s="2">
        <f>FORMAT_HAR_I!C5</f>
        <v>2.2999999999999998</v>
      </c>
      <c r="D63" s="383" t="e">
        <f>FORMAT_HAR_I!BY5</f>
        <v>#DIV/0!</v>
      </c>
      <c r="E63" s="380" t="e">
        <f>FORMAT_HAR_I!CB5</f>
        <v>#DIV/0!</v>
      </c>
      <c r="F63" s="293" t="e">
        <f>0.01*FORMAT_HAR_I!AL5*C63*1000</f>
        <v>#DIV/0!</v>
      </c>
      <c r="G63" s="294" t="e">
        <f>F63/10^0.5</f>
        <v>#DIV/0!</v>
      </c>
      <c r="H63" s="294">
        <f>1000*(0.000049*C63+0.0001)</f>
        <v>0.2127</v>
      </c>
      <c r="I63" s="276">
        <f>1000*C63*$H$114*0.01</f>
        <v>5.5554451056394401</v>
      </c>
      <c r="J63" s="296"/>
      <c r="K63" s="294">
        <f>1000*0.0001/2</f>
        <v>0.05</v>
      </c>
      <c r="L63" s="281" t="e">
        <f>2*(G63^2+I63^2/4+J63^2/3+K63^2/3)^0.5</f>
        <v>#DIV/0!</v>
      </c>
      <c r="M63" s="228" t="e">
        <f>0.01*FORMAT_HAR_I!BV5*C63*1000</f>
        <v>#DIV/0!</v>
      </c>
      <c r="N63" s="229" t="e">
        <f>M63/10^0.5</f>
        <v>#DIV/0!</v>
      </c>
      <c r="O63" s="229">
        <f>1000*(0.000049*C63+0.0001)</f>
        <v>0.2127</v>
      </c>
      <c r="P63" s="276">
        <f>1000*C63*$O$114*0.01</f>
        <v>5.5554451056394401</v>
      </c>
      <c r="Q63" s="358"/>
      <c r="R63" s="294">
        <f>1000*0.0001/2</f>
        <v>0.05</v>
      </c>
      <c r="S63" s="281" t="e">
        <f>2*(N63^2+P63^2/4+Q63^2/3+R63^2/3)^0.5</f>
        <v>#DIV/0!</v>
      </c>
      <c r="T63" s="535" t="e">
        <f>IF(S63&gt;L63,S63,L63)</f>
        <v>#DIV/0!</v>
      </c>
      <c r="U63" s="370">
        <f>0.005*C63*1000</f>
        <v>11.5</v>
      </c>
      <c r="V63" s="461">
        <f>0.05*C63*1000</f>
        <v>114.99999999999999</v>
      </c>
      <c r="W63" s="463" t="e">
        <f>IF(ABS(D63)&lt;U63,TRUE,FALSE)</f>
        <v>#DIV/0!</v>
      </c>
      <c r="X63" s="316" t="e">
        <f>IF(ABS(E63)&lt;U63,TRUE,FALSE)</f>
        <v>#DIV/0!</v>
      </c>
      <c r="Y63" s="319" t="e">
        <f>IF(ABS(D63)&lt;V63,TRUE,FALSE)</f>
        <v>#DIV/0!</v>
      </c>
      <c r="Z63" s="316" t="e">
        <f>IF(ABS(E63)&lt;V63,TRUE,FALSE)</f>
        <v>#DIV/0!</v>
      </c>
    </row>
    <row r="64" spans="1:26" ht="12.9" customHeight="1">
      <c r="A64" s="116">
        <f t="shared" ref="A64:A112" si="37">50*B64</f>
        <v>100</v>
      </c>
      <c r="B64" s="50">
        <v>2</v>
      </c>
      <c r="C64" s="5">
        <f>FORMAT_HAR_I!C6</f>
        <v>1.08</v>
      </c>
      <c r="D64" s="383" t="e">
        <f>FORMAT_HAR_I!BY6</f>
        <v>#DIV/0!</v>
      </c>
      <c r="E64" s="380" t="e">
        <f>FORMAT_HAR_I!CB6</f>
        <v>#DIV/0!</v>
      </c>
      <c r="F64" s="286" t="e">
        <f>0.01*FORMAT_HAR_I!AL6*C64*1000</f>
        <v>#DIV/0!</v>
      </c>
      <c r="G64" s="231" t="e">
        <f t="shared" ref="G64:G112" si="38">F64/10^0.5</f>
        <v>#DIV/0!</v>
      </c>
      <c r="H64" s="231">
        <f t="shared" ref="H64:H79" si="39">1000*(0.000064*C64+0.0002)</f>
        <v>0.26912000000000003</v>
      </c>
      <c r="I64" s="276">
        <f t="shared" ref="I64:I102" si="40">1000*C64*$H$114*0.01</f>
        <v>2.6086437887350415</v>
      </c>
      <c r="J64" s="276"/>
      <c r="K64" s="199">
        <f t="shared" ref="K64:K71" si="41">1000*0.0001/2</f>
        <v>0.05</v>
      </c>
      <c r="L64" s="281" t="e">
        <f t="shared" ref="L64:L102" si="42">2*(G64^2+I64^2/4+J64^2/3+K64^2/3)^0.5</f>
        <v>#DIV/0!</v>
      </c>
      <c r="M64" s="286" t="e">
        <f>0.01*FORMAT_HAR_I!BV6*C64*1000</f>
        <v>#DIV/0!</v>
      </c>
      <c r="N64" s="231" t="e">
        <f t="shared" ref="N64:N112" si="43">M64/10^0.5</f>
        <v>#DIV/0!</v>
      </c>
      <c r="O64" s="231">
        <f t="shared" ref="O64:O79" si="44">1000*(0.000064*C64+0.0002)</f>
        <v>0.26912000000000003</v>
      </c>
      <c r="P64" s="276">
        <f t="shared" ref="P64:P102" si="45">1000*C64*$O$114*0.01</f>
        <v>2.6086437887350415</v>
      </c>
      <c r="Q64" s="276"/>
      <c r="R64" s="199">
        <f t="shared" ref="R64:R71" si="46">1000*0.0001/2</f>
        <v>0.05</v>
      </c>
      <c r="S64" s="281" t="e">
        <f t="shared" ref="S64:S102" si="47">2*(N64^2+P64^2/4+Q64^2/3+R64^2/3)^0.5</f>
        <v>#DIV/0!</v>
      </c>
      <c r="T64" s="541" t="e">
        <f t="shared" ref="T64:T112" si="48">IF(S64&gt;L64,S64,L64)</f>
        <v>#DIV/0!</v>
      </c>
      <c r="U64" s="312">
        <f t="shared" ref="U64:U112" si="49">0.005*C64*1000</f>
        <v>5.4</v>
      </c>
      <c r="V64" s="458">
        <f t="shared" ref="V64:V77" si="50">0.05*C64*1000</f>
        <v>54.000000000000007</v>
      </c>
      <c r="W64" s="463" t="e">
        <f t="shared" ref="W64:W112" si="51">IF(ABS(D64)&lt;U64,TRUE,FALSE)</f>
        <v>#DIV/0!</v>
      </c>
      <c r="X64" s="316" t="e">
        <f t="shared" ref="X64:X112" si="52">IF(ABS(E64)&lt;U64,TRUE,FALSE)</f>
        <v>#DIV/0!</v>
      </c>
      <c r="Y64" s="319" t="e">
        <f t="shared" ref="Y64:Y112" si="53">IF(ABS(D64)&lt;V64,TRUE,FALSE)</f>
        <v>#DIV/0!</v>
      </c>
      <c r="Z64" s="316" t="e">
        <f t="shared" ref="Z64:Z112" si="54">IF(ABS(E64)&lt;V64,TRUE,FALSE)</f>
        <v>#DIV/0!</v>
      </c>
    </row>
    <row r="65" spans="1:26" ht="12.9" customHeight="1">
      <c r="A65" s="116">
        <f t="shared" si="37"/>
        <v>150</v>
      </c>
      <c r="B65" s="50">
        <v>3</v>
      </c>
      <c r="C65" s="5">
        <f>FORMAT_HAR_I!C7</f>
        <v>2.2999999999999998</v>
      </c>
      <c r="D65" s="383" t="e">
        <f>FORMAT_HAR_I!BY7</f>
        <v>#DIV/0!</v>
      </c>
      <c r="E65" s="380" t="e">
        <f>FORMAT_HAR_I!CB7</f>
        <v>#DIV/0!</v>
      </c>
      <c r="F65" s="286" t="e">
        <f>0.01*FORMAT_HAR_I!AL7*C65*1000</f>
        <v>#DIV/0!</v>
      </c>
      <c r="G65" s="231" t="e">
        <f t="shared" si="38"/>
        <v>#DIV/0!</v>
      </c>
      <c r="H65" s="231">
        <f t="shared" si="39"/>
        <v>0.34720000000000001</v>
      </c>
      <c r="I65" s="276">
        <f t="shared" si="40"/>
        <v>5.5554451056394401</v>
      </c>
      <c r="J65" s="276"/>
      <c r="K65" s="199">
        <f t="shared" si="41"/>
        <v>0.05</v>
      </c>
      <c r="L65" s="281" t="e">
        <f t="shared" si="42"/>
        <v>#DIV/0!</v>
      </c>
      <c r="M65" s="286" t="e">
        <f>0.01*FORMAT_HAR_I!BV7*C65*1000</f>
        <v>#DIV/0!</v>
      </c>
      <c r="N65" s="231" t="e">
        <f t="shared" si="43"/>
        <v>#DIV/0!</v>
      </c>
      <c r="O65" s="231">
        <f t="shared" si="44"/>
        <v>0.34720000000000001</v>
      </c>
      <c r="P65" s="276">
        <f t="shared" si="45"/>
        <v>5.5554451056394401</v>
      </c>
      <c r="Q65" s="276"/>
      <c r="R65" s="199">
        <f t="shared" si="46"/>
        <v>0.05</v>
      </c>
      <c r="S65" s="281" t="e">
        <f t="shared" si="47"/>
        <v>#DIV/0!</v>
      </c>
      <c r="T65" s="541" t="e">
        <f t="shared" si="48"/>
        <v>#DIV/0!</v>
      </c>
      <c r="U65" s="312">
        <f t="shared" si="49"/>
        <v>11.5</v>
      </c>
      <c r="V65" s="458">
        <f t="shared" si="50"/>
        <v>114.99999999999999</v>
      </c>
      <c r="W65" s="463" t="e">
        <f t="shared" si="51"/>
        <v>#DIV/0!</v>
      </c>
      <c r="X65" s="316" t="e">
        <f t="shared" si="52"/>
        <v>#DIV/0!</v>
      </c>
      <c r="Y65" s="319" t="e">
        <f t="shared" si="53"/>
        <v>#DIV/0!</v>
      </c>
      <c r="Z65" s="316" t="e">
        <f t="shared" si="54"/>
        <v>#DIV/0!</v>
      </c>
    </row>
    <row r="66" spans="1:26" ht="12.9" customHeight="1">
      <c r="A66" s="116">
        <f t="shared" si="37"/>
        <v>200</v>
      </c>
      <c r="B66" s="50">
        <v>4</v>
      </c>
      <c r="C66" s="5">
        <f>FORMAT_HAR_I!C8</f>
        <v>0.43</v>
      </c>
      <c r="D66" s="383" t="e">
        <f>FORMAT_HAR_I!BY8</f>
        <v>#DIV/0!</v>
      </c>
      <c r="E66" s="380" t="e">
        <f>FORMAT_HAR_I!CB8</f>
        <v>#DIV/0!</v>
      </c>
      <c r="F66" s="286" t="e">
        <f>0.01*FORMAT_HAR_I!AL8*C66*1000</f>
        <v>#DIV/0!</v>
      </c>
      <c r="G66" s="231" t="e">
        <f t="shared" si="38"/>
        <v>#DIV/0!</v>
      </c>
      <c r="H66" s="231">
        <f t="shared" si="39"/>
        <v>0.22752000000000003</v>
      </c>
      <c r="I66" s="276">
        <f t="shared" si="40"/>
        <v>1.0386266936630257</v>
      </c>
      <c r="J66" s="276"/>
      <c r="K66" s="199">
        <f t="shared" si="41"/>
        <v>0.05</v>
      </c>
      <c r="L66" s="281" t="e">
        <f t="shared" si="42"/>
        <v>#DIV/0!</v>
      </c>
      <c r="M66" s="286" t="e">
        <f>0.01*FORMAT_HAR_I!BV8*C66*1000</f>
        <v>#DIV/0!</v>
      </c>
      <c r="N66" s="231" t="e">
        <f t="shared" si="43"/>
        <v>#DIV/0!</v>
      </c>
      <c r="O66" s="231">
        <f t="shared" si="44"/>
        <v>0.22752000000000003</v>
      </c>
      <c r="P66" s="276">
        <f t="shared" si="45"/>
        <v>1.0386266936630257</v>
      </c>
      <c r="Q66" s="276"/>
      <c r="R66" s="199">
        <f t="shared" si="46"/>
        <v>0.05</v>
      </c>
      <c r="S66" s="281" t="e">
        <f t="shared" si="47"/>
        <v>#DIV/0!</v>
      </c>
      <c r="T66" s="541" t="e">
        <f t="shared" si="48"/>
        <v>#DIV/0!</v>
      </c>
      <c r="U66" s="312">
        <f t="shared" si="49"/>
        <v>2.15</v>
      </c>
      <c r="V66" s="458">
        <f t="shared" si="50"/>
        <v>21.5</v>
      </c>
      <c r="W66" s="463" t="e">
        <f t="shared" si="51"/>
        <v>#DIV/0!</v>
      </c>
      <c r="X66" s="316" t="e">
        <f t="shared" si="52"/>
        <v>#DIV/0!</v>
      </c>
      <c r="Y66" s="319" t="e">
        <f t="shared" si="53"/>
        <v>#DIV/0!</v>
      </c>
      <c r="Z66" s="316" t="e">
        <f t="shared" si="54"/>
        <v>#DIV/0!</v>
      </c>
    </row>
    <row r="67" spans="1:26" ht="12.9" customHeight="1">
      <c r="A67" s="116">
        <f t="shared" si="37"/>
        <v>250</v>
      </c>
      <c r="B67" s="50">
        <v>5</v>
      </c>
      <c r="C67" s="5">
        <f>FORMAT_HAR_I!C9</f>
        <v>1.1399999999999999</v>
      </c>
      <c r="D67" s="383" t="e">
        <f>FORMAT_HAR_I!BY9</f>
        <v>#DIV/0!</v>
      </c>
      <c r="E67" s="380" t="e">
        <f>FORMAT_HAR_I!CB9</f>
        <v>#DIV/0!</v>
      </c>
      <c r="F67" s="286" t="e">
        <f>0.01*FORMAT_HAR_I!AL9*C67*1000</f>
        <v>#DIV/0!</v>
      </c>
      <c r="G67" s="231" t="e">
        <f t="shared" si="38"/>
        <v>#DIV/0!</v>
      </c>
      <c r="H67" s="231">
        <f t="shared" si="39"/>
        <v>0.27295999999999998</v>
      </c>
      <c r="I67" s="276">
        <f t="shared" si="40"/>
        <v>2.7535684436647658</v>
      </c>
      <c r="J67" s="276"/>
      <c r="K67" s="199">
        <f t="shared" si="41"/>
        <v>0.05</v>
      </c>
      <c r="L67" s="281" t="e">
        <f t="shared" si="42"/>
        <v>#DIV/0!</v>
      </c>
      <c r="M67" s="286" t="e">
        <f>0.01*FORMAT_HAR_I!BV9*C67*1000</f>
        <v>#DIV/0!</v>
      </c>
      <c r="N67" s="231" t="e">
        <f t="shared" si="43"/>
        <v>#DIV/0!</v>
      </c>
      <c r="O67" s="231">
        <f t="shared" si="44"/>
        <v>0.27295999999999998</v>
      </c>
      <c r="P67" s="276">
        <f t="shared" si="45"/>
        <v>2.7535684436647658</v>
      </c>
      <c r="Q67" s="276"/>
      <c r="R67" s="199">
        <f t="shared" si="46"/>
        <v>0.05</v>
      </c>
      <c r="S67" s="281" t="e">
        <f t="shared" si="47"/>
        <v>#DIV/0!</v>
      </c>
      <c r="T67" s="541" t="e">
        <f t="shared" si="48"/>
        <v>#DIV/0!</v>
      </c>
      <c r="U67" s="312">
        <f t="shared" si="49"/>
        <v>5.6999999999999993</v>
      </c>
      <c r="V67" s="458">
        <f t="shared" si="50"/>
        <v>56.999999999999993</v>
      </c>
      <c r="W67" s="463" t="e">
        <f t="shared" si="51"/>
        <v>#DIV/0!</v>
      </c>
      <c r="X67" s="316" t="e">
        <f t="shared" si="52"/>
        <v>#DIV/0!</v>
      </c>
      <c r="Y67" s="319" t="e">
        <f t="shared" si="53"/>
        <v>#DIV/0!</v>
      </c>
      <c r="Z67" s="316" t="e">
        <f t="shared" si="54"/>
        <v>#DIV/0!</v>
      </c>
    </row>
    <row r="68" spans="1:26" ht="12.9" customHeight="1">
      <c r="A68" s="116">
        <f t="shared" si="37"/>
        <v>300</v>
      </c>
      <c r="B68" s="50">
        <v>6</v>
      </c>
      <c r="C68" s="5">
        <f>FORMAT_HAR_I!C10</f>
        <v>0.3</v>
      </c>
      <c r="D68" s="361" t="e">
        <f>FORMAT_HAR_I!BY10</f>
        <v>#DIV/0!</v>
      </c>
      <c r="E68" s="381" t="e">
        <f>FORMAT_HAR_I!CB10</f>
        <v>#DIV/0!</v>
      </c>
      <c r="F68" s="286" t="e">
        <f>0.01*FORMAT_HAR_I!AL10*C68*1000</f>
        <v>#DIV/0!</v>
      </c>
      <c r="G68" s="231" t="e">
        <f t="shared" si="38"/>
        <v>#DIV/0!</v>
      </c>
      <c r="H68" s="231">
        <f t="shared" si="39"/>
        <v>0.21920000000000001</v>
      </c>
      <c r="I68" s="276">
        <f t="shared" si="40"/>
        <v>0.72462327464862253</v>
      </c>
      <c r="J68" s="276"/>
      <c r="K68" s="199">
        <f>1000*0.00001/2</f>
        <v>5.0000000000000001E-3</v>
      </c>
      <c r="L68" s="282" t="e">
        <f t="shared" si="42"/>
        <v>#DIV/0!</v>
      </c>
      <c r="M68" s="286" t="e">
        <f>0.01*FORMAT_HAR_I!BV10*C68*1000</f>
        <v>#DIV/0!</v>
      </c>
      <c r="N68" s="231" t="e">
        <f t="shared" si="43"/>
        <v>#DIV/0!</v>
      </c>
      <c r="O68" s="231">
        <f t="shared" si="44"/>
        <v>0.21920000000000001</v>
      </c>
      <c r="P68" s="276">
        <f t="shared" si="45"/>
        <v>0.72462327464862253</v>
      </c>
      <c r="Q68" s="276"/>
      <c r="R68" s="199">
        <f>1000*0.00001/2</f>
        <v>5.0000000000000001E-3</v>
      </c>
      <c r="S68" s="282" t="e">
        <f t="shared" si="47"/>
        <v>#DIV/0!</v>
      </c>
      <c r="T68" s="541" t="e">
        <f t="shared" si="48"/>
        <v>#DIV/0!</v>
      </c>
      <c r="U68" s="312">
        <f t="shared" si="49"/>
        <v>1.5</v>
      </c>
      <c r="V68" s="458">
        <f t="shared" si="50"/>
        <v>15</v>
      </c>
      <c r="W68" s="463" t="e">
        <f t="shared" si="51"/>
        <v>#DIV/0!</v>
      </c>
      <c r="X68" s="316" t="e">
        <f t="shared" si="52"/>
        <v>#DIV/0!</v>
      </c>
      <c r="Y68" s="319" t="e">
        <f t="shared" si="53"/>
        <v>#DIV/0!</v>
      </c>
      <c r="Z68" s="316" t="e">
        <f t="shared" si="54"/>
        <v>#DIV/0!</v>
      </c>
    </row>
    <row r="69" spans="1:26" ht="12.9" customHeight="1">
      <c r="A69" s="116">
        <f t="shared" si="37"/>
        <v>350</v>
      </c>
      <c r="B69" s="50">
        <v>7</v>
      </c>
      <c r="C69" s="5">
        <f>FORMAT_HAR_I!C11</f>
        <v>0.77</v>
      </c>
      <c r="D69" s="383" t="e">
        <f>FORMAT_HAR_I!BY11</f>
        <v>#DIV/0!</v>
      </c>
      <c r="E69" s="380" t="e">
        <f>FORMAT_HAR_I!CB11</f>
        <v>#DIV/0!</v>
      </c>
      <c r="F69" s="286" t="e">
        <f>0.01*FORMAT_HAR_I!AL11*C69*1000</f>
        <v>#DIV/0!</v>
      </c>
      <c r="G69" s="231" t="e">
        <f t="shared" si="38"/>
        <v>#DIV/0!</v>
      </c>
      <c r="H69" s="231">
        <f t="shared" si="39"/>
        <v>0.24928</v>
      </c>
      <c r="I69" s="276">
        <f t="shared" si="40"/>
        <v>1.8598664049314646</v>
      </c>
      <c r="J69" s="276"/>
      <c r="K69" s="199">
        <f t="shared" si="41"/>
        <v>0.05</v>
      </c>
      <c r="L69" s="281" t="e">
        <f t="shared" si="42"/>
        <v>#DIV/0!</v>
      </c>
      <c r="M69" s="286" t="e">
        <f>0.01*FORMAT_HAR_I!BV11*C69*1000</f>
        <v>#DIV/0!</v>
      </c>
      <c r="N69" s="231" t="e">
        <f t="shared" si="43"/>
        <v>#DIV/0!</v>
      </c>
      <c r="O69" s="231">
        <f t="shared" si="44"/>
        <v>0.24928</v>
      </c>
      <c r="P69" s="276">
        <f t="shared" si="45"/>
        <v>1.8598664049314646</v>
      </c>
      <c r="Q69" s="276"/>
      <c r="R69" s="199">
        <f t="shared" si="46"/>
        <v>0.05</v>
      </c>
      <c r="S69" s="281" t="e">
        <f t="shared" si="47"/>
        <v>#DIV/0!</v>
      </c>
      <c r="T69" s="541" t="e">
        <f t="shared" si="48"/>
        <v>#DIV/0!</v>
      </c>
      <c r="U69" s="312">
        <f t="shared" si="49"/>
        <v>3.85</v>
      </c>
      <c r="V69" s="458">
        <f t="shared" si="50"/>
        <v>38.500000000000007</v>
      </c>
      <c r="W69" s="463" t="e">
        <f t="shared" si="51"/>
        <v>#DIV/0!</v>
      </c>
      <c r="X69" s="316" t="e">
        <f t="shared" si="52"/>
        <v>#DIV/0!</v>
      </c>
      <c r="Y69" s="319" t="e">
        <f t="shared" si="53"/>
        <v>#DIV/0!</v>
      </c>
      <c r="Z69" s="316" t="e">
        <f t="shared" si="54"/>
        <v>#DIV/0!</v>
      </c>
    </row>
    <row r="70" spans="1:26" ht="12.9" customHeight="1">
      <c r="A70" s="116">
        <f t="shared" si="37"/>
        <v>400</v>
      </c>
      <c r="B70" s="50">
        <v>8</v>
      </c>
      <c r="C70" s="5">
        <f>FORMAT_HAR_I!C12</f>
        <v>0.23</v>
      </c>
      <c r="D70" s="361" t="e">
        <f>FORMAT_HAR_I!BY12</f>
        <v>#DIV/0!</v>
      </c>
      <c r="E70" s="381" t="e">
        <f>FORMAT_HAR_I!CB12</f>
        <v>#DIV/0!</v>
      </c>
      <c r="F70" s="286" t="e">
        <f>0.01*FORMAT_HAR_I!AL12*C70*1000</f>
        <v>#DIV/0!</v>
      </c>
      <c r="G70" s="231" t="e">
        <f t="shared" si="38"/>
        <v>#DIV/0!</v>
      </c>
      <c r="H70" s="231">
        <f t="shared" si="39"/>
        <v>0.21471999999999999</v>
      </c>
      <c r="I70" s="276">
        <f t="shared" si="40"/>
        <v>0.55554451056394405</v>
      </c>
      <c r="J70" s="276"/>
      <c r="K70" s="199">
        <f>1000*0.00001/2</f>
        <v>5.0000000000000001E-3</v>
      </c>
      <c r="L70" s="282" t="e">
        <f t="shared" si="42"/>
        <v>#DIV/0!</v>
      </c>
      <c r="M70" s="286" t="e">
        <f>0.01*FORMAT_HAR_I!BV12*C70*1000</f>
        <v>#DIV/0!</v>
      </c>
      <c r="N70" s="231" t="e">
        <f t="shared" si="43"/>
        <v>#DIV/0!</v>
      </c>
      <c r="O70" s="231">
        <f t="shared" si="44"/>
        <v>0.21471999999999999</v>
      </c>
      <c r="P70" s="276">
        <f t="shared" si="45"/>
        <v>0.55554451056394405</v>
      </c>
      <c r="Q70" s="276"/>
      <c r="R70" s="199">
        <f>1000*0.00001/2</f>
        <v>5.0000000000000001E-3</v>
      </c>
      <c r="S70" s="282" t="e">
        <f t="shared" si="47"/>
        <v>#DIV/0!</v>
      </c>
      <c r="T70" s="541" t="e">
        <f t="shared" si="48"/>
        <v>#DIV/0!</v>
      </c>
      <c r="U70" s="312">
        <f t="shared" si="49"/>
        <v>1.1499999999999999</v>
      </c>
      <c r="V70" s="458">
        <f t="shared" si="50"/>
        <v>11.500000000000002</v>
      </c>
      <c r="W70" s="463" t="e">
        <f t="shared" si="51"/>
        <v>#DIV/0!</v>
      </c>
      <c r="X70" s="316" t="e">
        <f t="shared" si="52"/>
        <v>#DIV/0!</v>
      </c>
      <c r="Y70" s="319" t="e">
        <f t="shared" si="53"/>
        <v>#DIV/0!</v>
      </c>
      <c r="Z70" s="316" t="e">
        <f t="shared" si="54"/>
        <v>#DIV/0!</v>
      </c>
    </row>
    <row r="71" spans="1:26" ht="12.9" customHeight="1">
      <c r="A71" s="116">
        <f t="shared" si="37"/>
        <v>450</v>
      </c>
      <c r="B71" s="50">
        <v>9</v>
      </c>
      <c r="C71" s="5">
        <f>FORMAT_HAR_I!C13</f>
        <v>0.4</v>
      </c>
      <c r="D71" s="383" t="e">
        <f>FORMAT_HAR_I!BY13</f>
        <v>#DIV/0!</v>
      </c>
      <c r="E71" s="380" t="e">
        <f>FORMAT_HAR_I!CB13</f>
        <v>#DIV/0!</v>
      </c>
      <c r="F71" s="286" t="e">
        <f>0.01*FORMAT_HAR_I!AL13*C71*1000</f>
        <v>#DIV/0!</v>
      </c>
      <c r="G71" s="231" t="e">
        <f t="shared" si="38"/>
        <v>#DIV/0!</v>
      </c>
      <c r="H71" s="231">
        <f t="shared" si="39"/>
        <v>0.22559999999999999</v>
      </c>
      <c r="I71" s="276">
        <f t="shared" si="40"/>
        <v>0.96616436619816359</v>
      </c>
      <c r="J71" s="276"/>
      <c r="K71" s="199">
        <f t="shared" si="41"/>
        <v>0.05</v>
      </c>
      <c r="L71" s="281" t="e">
        <f t="shared" si="42"/>
        <v>#DIV/0!</v>
      </c>
      <c r="M71" s="286" t="e">
        <f>0.01*FORMAT_HAR_I!BV13*C71*1000</f>
        <v>#DIV/0!</v>
      </c>
      <c r="N71" s="231" t="e">
        <f t="shared" si="43"/>
        <v>#DIV/0!</v>
      </c>
      <c r="O71" s="231">
        <f t="shared" si="44"/>
        <v>0.22559999999999999</v>
      </c>
      <c r="P71" s="276">
        <f t="shared" si="45"/>
        <v>0.96616436619816359</v>
      </c>
      <c r="Q71" s="276"/>
      <c r="R71" s="199">
        <f t="shared" si="46"/>
        <v>0.05</v>
      </c>
      <c r="S71" s="281" t="e">
        <f t="shared" si="47"/>
        <v>#DIV/0!</v>
      </c>
      <c r="T71" s="541" t="e">
        <f t="shared" si="48"/>
        <v>#DIV/0!</v>
      </c>
      <c r="U71" s="312">
        <f t="shared" si="49"/>
        <v>2</v>
      </c>
      <c r="V71" s="458">
        <f t="shared" si="50"/>
        <v>20.000000000000004</v>
      </c>
      <c r="W71" s="463" t="e">
        <f t="shared" si="51"/>
        <v>#DIV/0!</v>
      </c>
      <c r="X71" s="316" t="e">
        <f t="shared" si="52"/>
        <v>#DIV/0!</v>
      </c>
      <c r="Y71" s="319" t="e">
        <f t="shared" si="53"/>
        <v>#DIV/0!</v>
      </c>
      <c r="Z71" s="316" t="e">
        <f t="shared" si="54"/>
        <v>#DIV/0!</v>
      </c>
    </row>
    <row r="72" spans="1:26" ht="12.9" customHeight="1">
      <c r="A72" s="116">
        <f t="shared" si="37"/>
        <v>500</v>
      </c>
      <c r="B72" s="50">
        <v>10</v>
      </c>
      <c r="C72" s="5">
        <f>FORMAT_HAR_I!C14</f>
        <v>0.184</v>
      </c>
      <c r="D72" s="361" t="e">
        <f>FORMAT_HAR_I!BY14</f>
        <v>#DIV/0!</v>
      </c>
      <c r="E72" s="381" t="e">
        <f>FORMAT_HAR_I!CB14</f>
        <v>#DIV/0!</v>
      </c>
      <c r="F72" s="286" t="e">
        <f>0.01*FORMAT_HAR_I!AL14*C72*1000</f>
        <v>#DIV/0!</v>
      </c>
      <c r="G72" s="231" t="e">
        <f t="shared" si="38"/>
        <v>#DIV/0!</v>
      </c>
      <c r="H72" s="231">
        <f t="shared" si="39"/>
        <v>0.21177599999999999</v>
      </c>
      <c r="I72" s="276">
        <f t="shared" si="40"/>
        <v>0.44443560845115521</v>
      </c>
      <c r="J72" s="276"/>
      <c r="K72" s="199">
        <f>1000*0.00001/2</f>
        <v>5.0000000000000001E-3</v>
      </c>
      <c r="L72" s="282" t="e">
        <f t="shared" si="42"/>
        <v>#DIV/0!</v>
      </c>
      <c r="M72" s="286" t="e">
        <f>0.01*FORMAT_HAR_I!BV14*C72*1000</f>
        <v>#DIV/0!</v>
      </c>
      <c r="N72" s="231" t="e">
        <f t="shared" si="43"/>
        <v>#DIV/0!</v>
      </c>
      <c r="O72" s="231">
        <f t="shared" si="44"/>
        <v>0.21177599999999999</v>
      </c>
      <c r="P72" s="276">
        <f t="shared" si="45"/>
        <v>0.44443560845115521</v>
      </c>
      <c r="Q72" s="276"/>
      <c r="R72" s="199">
        <f>1000*0.00001/2</f>
        <v>5.0000000000000001E-3</v>
      </c>
      <c r="S72" s="282" t="e">
        <f t="shared" si="47"/>
        <v>#DIV/0!</v>
      </c>
      <c r="T72" s="541" t="e">
        <f t="shared" si="48"/>
        <v>#DIV/0!</v>
      </c>
      <c r="U72" s="312">
        <f t="shared" si="49"/>
        <v>0.92</v>
      </c>
      <c r="V72" s="458">
        <f t="shared" si="50"/>
        <v>9.1999999999999993</v>
      </c>
      <c r="W72" s="463" t="e">
        <f t="shared" si="51"/>
        <v>#DIV/0!</v>
      </c>
      <c r="X72" s="316" t="e">
        <f t="shared" si="52"/>
        <v>#DIV/0!</v>
      </c>
      <c r="Y72" s="319" t="e">
        <f t="shared" si="53"/>
        <v>#DIV/0!</v>
      </c>
      <c r="Z72" s="316" t="e">
        <f t="shared" si="54"/>
        <v>#DIV/0!</v>
      </c>
    </row>
    <row r="73" spans="1:26" ht="12.9" customHeight="1">
      <c r="A73" s="116">
        <f t="shared" si="37"/>
        <v>550</v>
      </c>
      <c r="B73" s="50">
        <v>11</v>
      </c>
      <c r="C73" s="5">
        <f>FORMAT_HAR_I!C15</f>
        <v>0.33</v>
      </c>
      <c r="D73" s="361" t="e">
        <f>FORMAT_HAR_I!BY15</f>
        <v>#DIV/0!</v>
      </c>
      <c r="E73" s="381" t="e">
        <f>FORMAT_HAR_I!CB15</f>
        <v>#DIV/0!</v>
      </c>
      <c r="F73" s="286" t="e">
        <f>0.01*FORMAT_HAR_I!AL15*C73*1000</f>
        <v>#DIV/0!</v>
      </c>
      <c r="G73" s="231" t="e">
        <f t="shared" si="38"/>
        <v>#DIV/0!</v>
      </c>
      <c r="H73" s="231">
        <f t="shared" si="39"/>
        <v>0.22111999999999998</v>
      </c>
      <c r="I73" s="276">
        <f t="shared" si="40"/>
        <v>0.79708560211348489</v>
      </c>
      <c r="J73" s="276"/>
      <c r="K73" s="199">
        <f t="shared" ref="K73:K102" si="55">1000*0.00001/2</f>
        <v>5.0000000000000001E-3</v>
      </c>
      <c r="L73" s="282" t="e">
        <f t="shared" si="42"/>
        <v>#DIV/0!</v>
      </c>
      <c r="M73" s="286" t="e">
        <f>0.01*FORMAT_HAR_I!BV15*C73*1000</f>
        <v>#DIV/0!</v>
      </c>
      <c r="N73" s="231" t="e">
        <f t="shared" si="43"/>
        <v>#DIV/0!</v>
      </c>
      <c r="O73" s="231">
        <f t="shared" si="44"/>
        <v>0.22111999999999998</v>
      </c>
      <c r="P73" s="276">
        <f t="shared" si="45"/>
        <v>0.79708560211348489</v>
      </c>
      <c r="Q73" s="276"/>
      <c r="R73" s="199">
        <f t="shared" ref="R73:R102" si="56">1000*0.00001/2</f>
        <v>5.0000000000000001E-3</v>
      </c>
      <c r="S73" s="282" t="e">
        <f t="shared" si="47"/>
        <v>#DIV/0!</v>
      </c>
      <c r="T73" s="541" t="e">
        <f t="shared" si="48"/>
        <v>#DIV/0!</v>
      </c>
      <c r="U73" s="312">
        <f t="shared" si="49"/>
        <v>1.6500000000000001</v>
      </c>
      <c r="V73" s="458">
        <f t="shared" si="50"/>
        <v>16.5</v>
      </c>
      <c r="W73" s="463" t="e">
        <f t="shared" si="51"/>
        <v>#DIV/0!</v>
      </c>
      <c r="X73" s="316" t="e">
        <f t="shared" si="52"/>
        <v>#DIV/0!</v>
      </c>
      <c r="Y73" s="319" t="e">
        <f t="shared" si="53"/>
        <v>#DIV/0!</v>
      </c>
      <c r="Z73" s="316" t="e">
        <f t="shared" si="54"/>
        <v>#DIV/0!</v>
      </c>
    </row>
    <row r="74" spans="1:26" ht="12.9" customHeight="1">
      <c r="A74" s="116">
        <f t="shared" si="37"/>
        <v>600</v>
      </c>
      <c r="B74" s="50">
        <v>12</v>
      </c>
      <c r="C74" s="5">
        <f>FORMAT_HAR_I!C16</f>
        <v>0.15332999999999999</v>
      </c>
      <c r="D74" s="361" t="e">
        <f>FORMAT_HAR_I!BY16</f>
        <v>#DIV/0!</v>
      </c>
      <c r="E74" s="381" t="e">
        <f>FORMAT_HAR_I!CB16</f>
        <v>#DIV/0!</v>
      </c>
      <c r="F74" s="286" t="e">
        <f>0.01*FORMAT_HAR_I!AL16*C74*1000</f>
        <v>#DIV/0!</v>
      </c>
      <c r="G74" s="231" t="e">
        <f t="shared" si="38"/>
        <v>#DIV/0!</v>
      </c>
      <c r="H74" s="231">
        <f t="shared" si="39"/>
        <v>0.20981311999999999</v>
      </c>
      <c r="I74" s="276">
        <f t="shared" si="40"/>
        <v>0.37035495567291099</v>
      </c>
      <c r="J74" s="276"/>
      <c r="K74" s="199">
        <f t="shared" si="55"/>
        <v>5.0000000000000001E-3</v>
      </c>
      <c r="L74" s="282" t="e">
        <f t="shared" si="42"/>
        <v>#DIV/0!</v>
      </c>
      <c r="M74" s="286" t="e">
        <f>0.01*FORMAT_HAR_I!BV16*C74*1000</f>
        <v>#DIV/0!</v>
      </c>
      <c r="N74" s="231" t="e">
        <f t="shared" si="43"/>
        <v>#DIV/0!</v>
      </c>
      <c r="O74" s="231">
        <f t="shared" si="44"/>
        <v>0.20981311999999999</v>
      </c>
      <c r="P74" s="276">
        <f t="shared" si="45"/>
        <v>0.37035495567291099</v>
      </c>
      <c r="Q74" s="276"/>
      <c r="R74" s="199">
        <f t="shared" si="56"/>
        <v>5.0000000000000001E-3</v>
      </c>
      <c r="S74" s="282" t="e">
        <f t="shared" si="47"/>
        <v>#DIV/0!</v>
      </c>
      <c r="T74" s="541" t="e">
        <f t="shared" si="48"/>
        <v>#DIV/0!</v>
      </c>
      <c r="U74" s="312">
        <f t="shared" si="49"/>
        <v>0.76665000000000005</v>
      </c>
      <c r="V74" s="458">
        <f t="shared" si="50"/>
        <v>7.6665000000000001</v>
      </c>
      <c r="W74" s="463" t="e">
        <f t="shared" si="51"/>
        <v>#DIV/0!</v>
      </c>
      <c r="X74" s="316" t="e">
        <f t="shared" si="52"/>
        <v>#DIV/0!</v>
      </c>
      <c r="Y74" s="319" t="e">
        <f t="shared" si="53"/>
        <v>#DIV/0!</v>
      </c>
      <c r="Z74" s="316" t="e">
        <f t="shared" si="54"/>
        <v>#DIV/0!</v>
      </c>
    </row>
    <row r="75" spans="1:26" ht="12.9" customHeight="1">
      <c r="A75" s="116">
        <f t="shared" si="37"/>
        <v>650</v>
      </c>
      <c r="B75" s="50">
        <v>13</v>
      </c>
      <c r="C75" s="5">
        <f>FORMAT_HAR_I!C17</f>
        <v>0.21</v>
      </c>
      <c r="D75" s="361" t="e">
        <f>FORMAT_HAR_I!BY17</f>
        <v>#DIV/0!</v>
      </c>
      <c r="E75" s="381" t="e">
        <f>FORMAT_HAR_I!CB17</f>
        <v>#DIV/0!</v>
      </c>
      <c r="F75" s="286" t="e">
        <f>0.01*FORMAT_HAR_I!AL17*C75*1000</f>
        <v>#DIV/0!</v>
      </c>
      <c r="G75" s="231" t="e">
        <f t="shared" si="38"/>
        <v>#DIV/0!</v>
      </c>
      <c r="H75" s="231">
        <f t="shared" si="39"/>
        <v>0.21344000000000002</v>
      </c>
      <c r="I75" s="276">
        <f t="shared" si="40"/>
        <v>0.50723629225403588</v>
      </c>
      <c r="J75" s="276"/>
      <c r="K75" s="199">
        <f t="shared" si="55"/>
        <v>5.0000000000000001E-3</v>
      </c>
      <c r="L75" s="282" t="e">
        <f t="shared" si="42"/>
        <v>#DIV/0!</v>
      </c>
      <c r="M75" s="286" t="e">
        <f>0.01*FORMAT_HAR_I!BV17*C75*1000</f>
        <v>#DIV/0!</v>
      </c>
      <c r="N75" s="231" t="e">
        <f t="shared" si="43"/>
        <v>#DIV/0!</v>
      </c>
      <c r="O75" s="231">
        <f t="shared" si="44"/>
        <v>0.21344000000000002</v>
      </c>
      <c r="P75" s="276">
        <f t="shared" si="45"/>
        <v>0.50723629225403588</v>
      </c>
      <c r="Q75" s="276"/>
      <c r="R75" s="199">
        <f t="shared" si="56"/>
        <v>5.0000000000000001E-3</v>
      </c>
      <c r="S75" s="282" t="e">
        <f t="shared" si="47"/>
        <v>#DIV/0!</v>
      </c>
      <c r="T75" s="541" t="e">
        <f t="shared" si="48"/>
        <v>#DIV/0!</v>
      </c>
      <c r="U75" s="312">
        <f t="shared" si="49"/>
        <v>1.05</v>
      </c>
      <c r="V75" s="458">
        <f t="shared" si="50"/>
        <v>10.5</v>
      </c>
      <c r="W75" s="463" t="e">
        <f t="shared" si="51"/>
        <v>#DIV/0!</v>
      </c>
      <c r="X75" s="316" t="e">
        <f t="shared" si="52"/>
        <v>#DIV/0!</v>
      </c>
      <c r="Y75" s="319" t="e">
        <f t="shared" si="53"/>
        <v>#DIV/0!</v>
      </c>
      <c r="Z75" s="316" t="e">
        <f t="shared" si="54"/>
        <v>#DIV/0!</v>
      </c>
    </row>
    <row r="76" spans="1:26" ht="12.9" customHeight="1">
      <c r="A76" s="116">
        <f t="shared" si="37"/>
        <v>700</v>
      </c>
      <c r="B76" s="50">
        <v>14</v>
      </c>
      <c r="C76" s="5">
        <f>FORMAT_HAR_I!C18</f>
        <v>0.13142999999999999</v>
      </c>
      <c r="D76" s="361" t="e">
        <f>FORMAT_HAR_I!BY18</f>
        <v>#DIV/0!</v>
      </c>
      <c r="E76" s="381" t="e">
        <f>FORMAT_HAR_I!CB18</f>
        <v>#DIV/0!</v>
      </c>
      <c r="F76" s="286" t="e">
        <f>0.01*FORMAT_HAR_I!AL18*C76*1000</f>
        <v>#DIV/0!</v>
      </c>
      <c r="G76" s="231" t="e">
        <f t="shared" si="38"/>
        <v>#DIV/0!</v>
      </c>
      <c r="H76" s="231">
        <f t="shared" si="39"/>
        <v>0.20841152000000002</v>
      </c>
      <c r="I76" s="276">
        <f t="shared" si="40"/>
        <v>0.31745745662356151</v>
      </c>
      <c r="J76" s="276"/>
      <c r="K76" s="199">
        <f t="shared" si="55"/>
        <v>5.0000000000000001E-3</v>
      </c>
      <c r="L76" s="282" t="e">
        <f t="shared" si="42"/>
        <v>#DIV/0!</v>
      </c>
      <c r="M76" s="286" t="e">
        <f>0.01*FORMAT_HAR_I!BV18*C76*1000</f>
        <v>#DIV/0!</v>
      </c>
      <c r="N76" s="231" t="e">
        <f t="shared" si="43"/>
        <v>#DIV/0!</v>
      </c>
      <c r="O76" s="231">
        <f t="shared" si="44"/>
        <v>0.20841152000000002</v>
      </c>
      <c r="P76" s="276">
        <f t="shared" si="45"/>
        <v>0.31745745662356151</v>
      </c>
      <c r="Q76" s="276"/>
      <c r="R76" s="199">
        <f t="shared" si="56"/>
        <v>5.0000000000000001E-3</v>
      </c>
      <c r="S76" s="282" t="e">
        <f t="shared" si="47"/>
        <v>#DIV/0!</v>
      </c>
      <c r="T76" s="541" t="e">
        <f t="shared" si="48"/>
        <v>#DIV/0!</v>
      </c>
      <c r="U76" s="312">
        <f t="shared" si="49"/>
        <v>0.65715000000000001</v>
      </c>
      <c r="V76" s="458">
        <f>0.0015*5*1000</f>
        <v>7.5</v>
      </c>
      <c r="W76" s="463" t="e">
        <f t="shared" si="51"/>
        <v>#DIV/0!</v>
      </c>
      <c r="X76" s="316" t="e">
        <f t="shared" si="52"/>
        <v>#DIV/0!</v>
      </c>
      <c r="Y76" s="319" t="e">
        <f t="shared" si="53"/>
        <v>#DIV/0!</v>
      </c>
      <c r="Z76" s="316" t="e">
        <f t="shared" si="54"/>
        <v>#DIV/0!</v>
      </c>
    </row>
    <row r="77" spans="1:26" ht="12.9" customHeight="1">
      <c r="A77" s="116">
        <f t="shared" si="37"/>
        <v>750</v>
      </c>
      <c r="B77" s="50">
        <v>15</v>
      </c>
      <c r="C77" s="5">
        <f>FORMAT_HAR_I!C19</f>
        <v>0.15</v>
      </c>
      <c r="D77" s="361" t="e">
        <f>FORMAT_HAR_I!BY19</f>
        <v>#DIV/0!</v>
      </c>
      <c r="E77" s="381" t="e">
        <f>FORMAT_HAR_I!CB19</f>
        <v>#DIV/0!</v>
      </c>
      <c r="F77" s="286" t="e">
        <f>0.01*FORMAT_HAR_I!AL19*C77*1000</f>
        <v>#DIV/0!</v>
      </c>
      <c r="G77" s="231" t="e">
        <f t="shared" si="38"/>
        <v>#DIV/0!</v>
      </c>
      <c r="H77" s="231">
        <f t="shared" si="39"/>
        <v>0.20960000000000001</v>
      </c>
      <c r="I77" s="276">
        <f t="shared" si="40"/>
        <v>0.36231163732431126</v>
      </c>
      <c r="J77" s="276"/>
      <c r="K77" s="199">
        <f t="shared" si="55"/>
        <v>5.0000000000000001E-3</v>
      </c>
      <c r="L77" s="282" t="e">
        <f t="shared" si="42"/>
        <v>#DIV/0!</v>
      </c>
      <c r="M77" s="286" t="e">
        <f>0.01*FORMAT_HAR_I!BV19*C77*1000</f>
        <v>#DIV/0!</v>
      </c>
      <c r="N77" s="231" t="e">
        <f t="shared" si="43"/>
        <v>#DIV/0!</v>
      </c>
      <c r="O77" s="231">
        <f t="shared" si="44"/>
        <v>0.20960000000000001</v>
      </c>
      <c r="P77" s="276">
        <f t="shared" si="45"/>
        <v>0.36231163732431126</v>
      </c>
      <c r="Q77" s="276"/>
      <c r="R77" s="199">
        <f t="shared" si="56"/>
        <v>5.0000000000000001E-3</v>
      </c>
      <c r="S77" s="282" t="e">
        <f t="shared" si="47"/>
        <v>#DIV/0!</v>
      </c>
      <c r="T77" s="541" t="e">
        <f t="shared" si="48"/>
        <v>#DIV/0!</v>
      </c>
      <c r="U77" s="312">
        <f t="shared" si="49"/>
        <v>0.75</v>
      </c>
      <c r="V77" s="458">
        <f t="shared" si="50"/>
        <v>7.5</v>
      </c>
      <c r="W77" s="463" t="e">
        <f t="shared" si="51"/>
        <v>#DIV/0!</v>
      </c>
      <c r="X77" s="316" t="e">
        <f t="shared" si="52"/>
        <v>#DIV/0!</v>
      </c>
      <c r="Y77" s="319" t="e">
        <f t="shared" si="53"/>
        <v>#DIV/0!</v>
      </c>
      <c r="Z77" s="316" t="e">
        <f t="shared" si="54"/>
        <v>#DIV/0!</v>
      </c>
    </row>
    <row r="78" spans="1:26" ht="12.9" customHeight="1">
      <c r="A78" s="116">
        <f t="shared" si="37"/>
        <v>800</v>
      </c>
      <c r="B78" s="50">
        <v>16</v>
      </c>
      <c r="C78" s="5">
        <f>FORMAT_HAR_I!C20</f>
        <v>0.115</v>
      </c>
      <c r="D78" s="361" t="e">
        <f>FORMAT_HAR_I!BY20</f>
        <v>#DIV/0!</v>
      </c>
      <c r="E78" s="381" t="e">
        <f>FORMAT_HAR_I!CB20</f>
        <v>#DIV/0!</v>
      </c>
      <c r="F78" s="286" t="e">
        <f>0.01*FORMAT_HAR_I!AL20*C78*1000</f>
        <v>#DIV/0!</v>
      </c>
      <c r="G78" s="231" t="e">
        <f t="shared" si="38"/>
        <v>#DIV/0!</v>
      </c>
      <c r="H78" s="231">
        <f t="shared" si="39"/>
        <v>0.20736000000000002</v>
      </c>
      <c r="I78" s="276">
        <f t="shared" si="40"/>
        <v>0.27777225528197202</v>
      </c>
      <c r="J78" s="276"/>
      <c r="K78" s="199">
        <f t="shared" si="55"/>
        <v>5.0000000000000001E-3</v>
      </c>
      <c r="L78" s="282" t="e">
        <f t="shared" si="42"/>
        <v>#DIV/0!</v>
      </c>
      <c r="M78" s="286" t="e">
        <f>0.01*FORMAT_HAR_I!BV20*C78*1000</f>
        <v>#DIV/0!</v>
      </c>
      <c r="N78" s="231" t="e">
        <f t="shared" si="43"/>
        <v>#DIV/0!</v>
      </c>
      <c r="O78" s="231">
        <f t="shared" si="44"/>
        <v>0.20736000000000002</v>
      </c>
      <c r="P78" s="276">
        <f t="shared" si="45"/>
        <v>0.27777225528197202</v>
      </c>
      <c r="Q78" s="276"/>
      <c r="R78" s="199">
        <f t="shared" si="56"/>
        <v>5.0000000000000001E-3</v>
      </c>
      <c r="S78" s="282" t="e">
        <f t="shared" si="47"/>
        <v>#DIV/0!</v>
      </c>
      <c r="T78" s="541" t="e">
        <f t="shared" si="48"/>
        <v>#DIV/0!</v>
      </c>
      <c r="U78" s="312">
        <f t="shared" si="49"/>
        <v>0.57499999999999996</v>
      </c>
      <c r="V78" s="458">
        <f>0.0015*5*1000</f>
        <v>7.5</v>
      </c>
      <c r="W78" s="463" t="e">
        <f t="shared" si="51"/>
        <v>#DIV/0!</v>
      </c>
      <c r="X78" s="316" t="e">
        <f t="shared" si="52"/>
        <v>#DIV/0!</v>
      </c>
      <c r="Y78" s="319" t="e">
        <f t="shared" si="53"/>
        <v>#DIV/0!</v>
      </c>
      <c r="Z78" s="316" t="e">
        <f t="shared" si="54"/>
        <v>#DIV/0!</v>
      </c>
    </row>
    <row r="79" spans="1:26" ht="12.9" customHeight="1">
      <c r="A79" s="116">
        <f t="shared" si="37"/>
        <v>850</v>
      </c>
      <c r="B79" s="50">
        <v>17</v>
      </c>
      <c r="C79" s="5">
        <f>FORMAT_HAR_I!C21</f>
        <v>0.13235</v>
      </c>
      <c r="D79" s="361" t="e">
        <f>FORMAT_HAR_I!BY21</f>
        <v>#DIV/0!</v>
      </c>
      <c r="E79" s="381" t="e">
        <f>FORMAT_HAR_I!CB21</f>
        <v>#DIV/0!</v>
      </c>
      <c r="F79" s="286" t="e">
        <f>0.01*FORMAT_HAR_I!AL21*C79*1000</f>
        <v>#DIV/0!</v>
      </c>
      <c r="G79" s="231" t="e">
        <f t="shared" si="38"/>
        <v>#DIV/0!</v>
      </c>
      <c r="H79" s="231">
        <f t="shared" si="39"/>
        <v>0.20847040000000003</v>
      </c>
      <c r="I79" s="276">
        <f t="shared" si="40"/>
        <v>0.31967963466581734</v>
      </c>
      <c r="J79" s="276"/>
      <c r="K79" s="199">
        <f t="shared" si="55"/>
        <v>5.0000000000000001E-3</v>
      </c>
      <c r="L79" s="282" t="e">
        <f t="shared" si="42"/>
        <v>#DIV/0!</v>
      </c>
      <c r="M79" s="286" t="e">
        <f>0.01*FORMAT_HAR_I!BV21*C79*1000</f>
        <v>#DIV/0!</v>
      </c>
      <c r="N79" s="231" t="e">
        <f t="shared" si="43"/>
        <v>#DIV/0!</v>
      </c>
      <c r="O79" s="231">
        <f t="shared" si="44"/>
        <v>0.20847040000000003</v>
      </c>
      <c r="P79" s="276">
        <f t="shared" si="45"/>
        <v>0.31967963466581734</v>
      </c>
      <c r="Q79" s="276"/>
      <c r="R79" s="199">
        <f t="shared" si="56"/>
        <v>5.0000000000000001E-3</v>
      </c>
      <c r="S79" s="282" t="e">
        <f t="shared" si="47"/>
        <v>#DIV/0!</v>
      </c>
      <c r="T79" s="541" t="e">
        <f t="shared" si="48"/>
        <v>#DIV/0!</v>
      </c>
      <c r="U79" s="312">
        <f t="shared" si="49"/>
        <v>0.66175000000000006</v>
      </c>
      <c r="V79" s="458">
        <f t="shared" ref="V79:V102" si="57">0.0015*5*1000</f>
        <v>7.5</v>
      </c>
      <c r="W79" s="463" t="e">
        <f t="shared" si="51"/>
        <v>#DIV/0!</v>
      </c>
      <c r="X79" s="316" t="e">
        <f t="shared" si="52"/>
        <v>#DIV/0!</v>
      </c>
      <c r="Y79" s="319" t="e">
        <f t="shared" si="53"/>
        <v>#DIV/0!</v>
      </c>
      <c r="Z79" s="316" t="e">
        <f t="shared" si="54"/>
        <v>#DIV/0!</v>
      </c>
    </row>
    <row r="80" spans="1:26" ht="12.9" customHeight="1">
      <c r="A80" s="116">
        <f t="shared" si="37"/>
        <v>900</v>
      </c>
      <c r="B80" s="50">
        <v>18</v>
      </c>
      <c r="C80" s="5">
        <f>FORMAT_HAR_I!C22</f>
        <v>0.10222000000000001</v>
      </c>
      <c r="D80" s="361" t="e">
        <f>FORMAT_HAR_I!BY22</f>
        <v>#DIV/0!</v>
      </c>
      <c r="E80" s="381" t="e">
        <f>FORMAT_HAR_I!CB22</f>
        <v>#DIV/0!</v>
      </c>
      <c r="F80" s="286" t="e">
        <f>0.01*FORMAT_HAR_I!AL22*C80*1000</f>
        <v>#DIV/0!</v>
      </c>
      <c r="G80" s="231" t="e">
        <f t="shared" si="38"/>
        <v>#DIV/0!</v>
      </c>
      <c r="H80" s="231">
        <f t="shared" ref="H80:H102" si="58">1000*(0.0004*C80+0.0002)</f>
        <v>0.24088800000000002</v>
      </c>
      <c r="I80" s="276">
        <f t="shared" si="40"/>
        <v>0.2469033037819407</v>
      </c>
      <c r="J80" s="276"/>
      <c r="K80" s="199">
        <f t="shared" si="55"/>
        <v>5.0000000000000001E-3</v>
      </c>
      <c r="L80" s="282" t="e">
        <f t="shared" si="42"/>
        <v>#DIV/0!</v>
      </c>
      <c r="M80" s="286" t="e">
        <f>0.01*FORMAT_HAR_I!BV22*C80*1000</f>
        <v>#DIV/0!</v>
      </c>
      <c r="N80" s="231" t="e">
        <f t="shared" si="43"/>
        <v>#DIV/0!</v>
      </c>
      <c r="O80" s="231">
        <f t="shared" ref="O80:O102" si="59">1000*(0.0004*C80+0.0002)</f>
        <v>0.24088800000000002</v>
      </c>
      <c r="P80" s="276">
        <f t="shared" si="45"/>
        <v>0.2469033037819407</v>
      </c>
      <c r="Q80" s="276"/>
      <c r="R80" s="199">
        <f t="shared" si="56"/>
        <v>5.0000000000000001E-3</v>
      </c>
      <c r="S80" s="282" t="e">
        <f t="shared" si="47"/>
        <v>#DIV/0!</v>
      </c>
      <c r="T80" s="541" t="e">
        <f t="shared" si="48"/>
        <v>#DIV/0!</v>
      </c>
      <c r="U80" s="312">
        <f t="shared" si="49"/>
        <v>0.5111</v>
      </c>
      <c r="V80" s="458">
        <f t="shared" si="57"/>
        <v>7.5</v>
      </c>
      <c r="W80" s="463" t="e">
        <f t="shared" si="51"/>
        <v>#DIV/0!</v>
      </c>
      <c r="X80" s="316" t="e">
        <f t="shared" si="52"/>
        <v>#DIV/0!</v>
      </c>
      <c r="Y80" s="319" t="e">
        <f t="shared" si="53"/>
        <v>#DIV/0!</v>
      </c>
      <c r="Z80" s="316" t="e">
        <f t="shared" si="54"/>
        <v>#DIV/0!</v>
      </c>
    </row>
    <row r="81" spans="1:26" ht="12.9" customHeight="1">
      <c r="A81" s="116">
        <f t="shared" si="37"/>
        <v>950</v>
      </c>
      <c r="B81" s="50">
        <v>19</v>
      </c>
      <c r="C81" s="5">
        <f>FORMAT_HAR_I!C23</f>
        <v>0.11842</v>
      </c>
      <c r="D81" s="361" t="e">
        <f>FORMAT_HAR_I!BY23</f>
        <v>#DIV/0!</v>
      </c>
      <c r="E81" s="381" t="e">
        <f>FORMAT_HAR_I!CB23</f>
        <v>#DIV/0!</v>
      </c>
      <c r="F81" s="286" t="e">
        <f>0.01*FORMAT_HAR_I!AL23*C81*1000</f>
        <v>#DIV/0!</v>
      </c>
      <c r="G81" s="231" t="e">
        <f t="shared" si="38"/>
        <v>#DIV/0!</v>
      </c>
      <c r="H81" s="231">
        <f t="shared" si="58"/>
        <v>0.24736800000000003</v>
      </c>
      <c r="I81" s="276">
        <f t="shared" si="40"/>
        <v>0.28603296061296635</v>
      </c>
      <c r="J81" s="276"/>
      <c r="K81" s="199">
        <f t="shared" si="55"/>
        <v>5.0000000000000001E-3</v>
      </c>
      <c r="L81" s="282" t="e">
        <f t="shared" si="42"/>
        <v>#DIV/0!</v>
      </c>
      <c r="M81" s="286" t="e">
        <f>0.01*FORMAT_HAR_I!BV23*C81*1000</f>
        <v>#DIV/0!</v>
      </c>
      <c r="N81" s="231" t="e">
        <f t="shared" si="43"/>
        <v>#DIV/0!</v>
      </c>
      <c r="O81" s="231">
        <f t="shared" si="59"/>
        <v>0.24736800000000003</v>
      </c>
      <c r="P81" s="276">
        <f t="shared" si="45"/>
        <v>0.28603296061296635</v>
      </c>
      <c r="Q81" s="276"/>
      <c r="R81" s="199">
        <f t="shared" si="56"/>
        <v>5.0000000000000001E-3</v>
      </c>
      <c r="S81" s="282" t="e">
        <f t="shared" si="47"/>
        <v>#DIV/0!</v>
      </c>
      <c r="T81" s="541" t="e">
        <f t="shared" si="48"/>
        <v>#DIV/0!</v>
      </c>
      <c r="U81" s="312">
        <f t="shared" si="49"/>
        <v>0.59210000000000007</v>
      </c>
      <c r="V81" s="458">
        <f t="shared" si="57"/>
        <v>7.5</v>
      </c>
      <c r="W81" s="463" t="e">
        <f t="shared" si="51"/>
        <v>#DIV/0!</v>
      </c>
      <c r="X81" s="316" t="e">
        <f t="shared" si="52"/>
        <v>#DIV/0!</v>
      </c>
      <c r="Y81" s="319" t="e">
        <f t="shared" si="53"/>
        <v>#DIV/0!</v>
      </c>
      <c r="Z81" s="316" t="e">
        <f t="shared" si="54"/>
        <v>#DIV/0!</v>
      </c>
    </row>
    <row r="82" spans="1:26" ht="12.9" customHeight="1">
      <c r="A82" s="116">
        <f t="shared" si="37"/>
        <v>1000</v>
      </c>
      <c r="B82" s="50">
        <v>20</v>
      </c>
      <c r="C82" s="5">
        <f>FORMAT_HAR_I!C24</f>
        <v>9.1999999999999998E-2</v>
      </c>
      <c r="D82" s="361" t="e">
        <f>FORMAT_HAR_I!BY24</f>
        <v>#DIV/0!</v>
      </c>
      <c r="E82" s="381" t="e">
        <f>FORMAT_HAR_I!CB24</f>
        <v>#DIV/0!</v>
      </c>
      <c r="F82" s="286" t="e">
        <f>0.01*FORMAT_HAR_I!AL24*C82*1000</f>
        <v>#DIV/0!</v>
      </c>
      <c r="G82" s="231" t="e">
        <f t="shared" si="38"/>
        <v>#DIV/0!</v>
      </c>
      <c r="H82" s="231">
        <f t="shared" si="58"/>
        <v>0.23680000000000001</v>
      </c>
      <c r="I82" s="276">
        <f t="shared" si="40"/>
        <v>0.2222178042255776</v>
      </c>
      <c r="J82" s="276"/>
      <c r="K82" s="199">
        <f t="shared" si="55"/>
        <v>5.0000000000000001E-3</v>
      </c>
      <c r="L82" s="282" t="e">
        <f t="shared" si="42"/>
        <v>#DIV/0!</v>
      </c>
      <c r="M82" s="286" t="e">
        <f>0.01*FORMAT_HAR_I!BV24*C82*1000</f>
        <v>#DIV/0!</v>
      </c>
      <c r="N82" s="231" t="e">
        <f t="shared" si="43"/>
        <v>#DIV/0!</v>
      </c>
      <c r="O82" s="231">
        <f t="shared" si="59"/>
        <v>0.23680000000000001</v>
      </c>
      <c r="P82" s="276">
        <f t="shared" si="45"/>
        <v>0.2222178042255776</v>
      </c>
      <c r="Q82" s="276"/>
      <c r="R82" s="199">
        <f t="shared" si="56"/>
        <v>5.0000000000000001E-3</v>
      </c>
      <c r="S82" s="282" t="e">
        <f t="shared" si="47"/>
        <v>#DIV/0!</v>
      </c>
      <c r="T82" s="541" t="e">
        <f t="shared" si="48"/>
        <v>#DIV/0!</v>
      </c>
      <c r="U82" s="312">
        <f t="shared" si="49"/>
        <v>0.46</v>
      </c>
      <c r="V82" s="458">
        <f t="shared" si="57"/>
        <v>7.5</v>
      </c>
      <c r="W82" s="463" t="e">
        <f t="shared" si="51"/>
        <v>#DIV/0!</v>
      </c>
      <c r="X82" s="316" t="e">
        <f t="shared" si="52"/>
        <v>#DIV/0!</v>
      </c>
      <c r="Y82" s="319" t="e">
        <f t="shared" si="53"/>
        <v>#DIV/0!</v>
      </c>
      <c r="Z82" s="316" t="e">
        <f t="shared" si="54"/>
        <v>#DIV/0!</v>
      </c>
    </row>
    <row r="83" spans="1:26" ht="12.9" customHeight="1">
      <c r="A83" s="116">
        <f t="shared" si="37"/>
        <v>1050</v>
      </c>
      <c r="B83" s="50">
        <v>21</v>
      </c>
      <c r="C83" s="5">
        <f>FORMAT_HAR_I!C25</f>
        <v>0.10714</v>
      </c>
      <c r="D83" s="361" t="e">
        <f>FORMAT_HAR_I!BY25</f>
        <v>#DIV/0!</v>
      </c>
      <c r="E83" s="381" t="e">
        <f>FORMAT_HAR_I!CB25</f>
        <v>#DIV/0!</v>
      </c>
      <c r="F83" s="286" t="e">
        <f>0.01*FORMAT_HAR_I!AL25*C83*1000</f>
        <v>#DIV/0!</v>
      </c>
      <c r="G83" s="231" t="e">
        <f t="shared" si="38"/>
        <v>#DIV/0!</v>
      </c>
      <c r="H83" s="231">
        <f t="shared" si="58"/>
        <v>0.24285600000000002</v>
      </c>
      <c r="I83" s="276">
        <f t="shared" si="40"/>
        <v>0.2587871254861781</v>
      </c>
      <c r="J83" s="276"/>
      <c r="K83" s="199">
        <f t="shared" si="55"/>
        <v>5.0000000000000001E-3</v>
      </c>
      <c r="L83" s="282" t="e">
        <f t="shared" si="42"/>
        <v>#DIV/0!</v>
      </c>
      <c r="M83" s="286" t="e">
        <f>0.01*FORMAT_HAR_I!BV25*C83*1000</f>
        <v>#DIV/0!</v>
      </c>
      <c r="N83" s="231" t="e">
        <f t="shared" si="43"/>
        <v>#DIV/0!</v>
      </c>
      <c r="O83" s="231">
        <f t="shared" si="59"/>
        <v>0.24285600000000002</v>
      </c>
      <c r="P83" s="276">
        <f t="shared" si="45"/>
        <v>0.2587871254861781</v>
      </c>
      <c r="Q83" s="276"/>
      <c r="R83" s="199">
        <f t="shared" si="56"/>
        <v>5.0000000000000001E-3</v>
      </c>
      <c r="S83" s="282" t="e">
        <f t="shared" si="47"/>
        <v>#DIV/0!</v>
      </c>
      <c r="T83" s="541" t="e">
        <f t="shared" si="48"/>
        <v>#DIV/0!</v>
      </c>
      <c r="U83" s="312">
        <f t="shared" si="49"/>
        <v>0.53569999999999995</v>
      </c>
      <c r="V83" s="458">
        <f t="shared" si="57"/>
        <v>7.5</v>
      </c>
      <c r="W83" s="463" t="e">
        <f t="shared" si="51"/>
        <v>#DIV/0!</v>
      </c>
      <c r="X83" s="316" t="e">
        <f t="shared" si="52"/>
        <v>#DIV/0!</v>
      </c>
      <c r="Y83" s="319" t="e">
        <f t="shared" si="53"/>
        <v>#DIV/0!</v>
      </c>
      <c r="Z83" s="316" t="e">
        <f t="shared" si="54"/>
        <v>#DIV/0!</v>
      </c>
    </row>
    <row r="84" spans="1:26" ht="12.9" customHeight="1">
      <c r="A84" s="116">
        <f t="shared" si="37"/>
        <v>1100</v>
      </c>
      <c r="B84" s="50">
        <v>22</v>
      </c>
      <c r="C84" s="5">
        <f>FORMAT_HAR_I!C26</f>
        <v>8.3640000000000006E-2</v>
      </c>
      <c r="D84" s="361" t="e">
        <f>FORMAT_HAR_I!BY26</f>
        <v>#DIV/0!</v>
      </c>
      <c r="E84" s="381" t="e">
        <f>FORMAT_HAR_I!CB26</f>
        <v>#DIV/0!</v>
      </c>
      <c r="F84" s="286" t="e">
        <f>0.01*FORMAT_HAR_I!AL26*C84*1000</f>
        <v>#DIV/0!</v>
      </c>
      <c r="G84" s="231" t="e">
        <f t="shared" si="38"/>
        <v>#DIV/0!</v>
      </c>
      <c r="H84" s="231">
        <f t="shared" si="58"/>
        <v>0.23345600000000002</v>
      </c>
      <c r="I84" s="276">
        <f t="shared" si="40"/>
        <v>0.20202496897203598</v>
      </c>
      <c r="J84" s="276"/>
      <c r="K84" s="199">
        <f t="shared" si="55"/>
        <v>5.0000000000000001E-3</v>
      </c>
      <c r="L84" s="282" t="e">
        <f t="shared" si="42"/>
        <v>#DIV/0!</v>
      </c>
      <c r="M84" s="286" t="e">
        <f>0.01*FORMAT_HAR_I!BV26*C84*1000</f>
        <v>#DIV/0!</v>
      </c>
      <c r="N84" s="231" t="e">
        <f t="shared" si="43"/>
        <v>#DIV/0!</v>
      </c>
      <c r="O84" s="231">
        <f t="shared" si="59"/>
        <v>0.23345600000000002</v>
      </c>
      <c r="P84" s="276">
        <f t="shared" si="45"/>
        <v>0.20202496897203598</v>
      </c>
      <c r="Q84" s="276"/>
      <c r="R84" s="199">
        <f t="shared" si="56"/>
        <v>5.0000000000000001E-3</v>
      </c>
      <c r="S84" s="282" t="e">
        <f t="shared" si="47"/>
        <v>#DIV/0!</v>
      </c>
      <c r="T84" s="541" t="e">
        <f t="shared" si="48"/>
        <v>#DIV/0!</v>
      </c>
      <c r="U84" s="312">
        <f t="shared" si="49"/>
        <v>0.41820000000000002</v>
      </c>
      <c r="V84" s="458">
        <f t="shared" si="57"/>
        <v>7.5</v>
      </c>
      <c r="W84" s="463" t="e">
        <f t="shared" si="51"/>
        <v>#DIV/0!</v>
      </c>
      <c r="X84" s="316" t="e">
        <f t="shared" si="52"/>
        <v>#DIV/0!</v>
      </c>
      <c r="Y84" s="319" t="e">
        <f t="shared" si="53"/>
        <v>#DIV/0!</v>
      </c>
      <c r="Z84" s="316" t="e">
        <f t="shared" si="54"/>
        <v>#DIV/0!</v>
      </c>
    </row>
    <row r="85" spans="1:26" ht="12.9" customHeight="1">
      <c r="A85" s="116">
        <f t="shared" si="37"/>
        <v>1150</v>
      </c>
      <c r="B85" s="50">
        <v>23</v>
      </c>
      <c r="C85" s="5">
        <f>FORMAT_HAR_I!C27</f>
        <v>9.783E-2</v>
      </c>
      <c r="D85" s="361" t="e">
        <f>FORMAT_HAR_I!BY27</f>
        <v>#DIV/0!</v>
      </c>
      <c r="E85" s="381" t="e">
        <f>FORMAT_HAR_I!CB27</f>
        <v>#DIV/0!</v>
      </c>
      <c r="F85" s="286" t="e">
        <f>0.01*FORMAT_HAR_I!AL27*C85*1000</f>
        <v>#DIV/0!</v>
      </c>
      <c r="G85" s="231" t="e">
        <f t="shared" si="38"/>
        <v>#DIV/0!</v>
      </c>
      <c r="H85" s="231">
        <f t="shared" si="58"/>
        <v>0.23913200000000004</v>
      </c>
      <c r="I85" s="276">
        <f t="shared" si="40"/>
        <v>0.23629964986291582</v>
      </c>
      <c r="J85" s="276"/>
      <c r="K85" s="199">
        <f t="shared" si="55"/>
        <v>5.0000000000000001E-3</v>
      </c>
      <c r="L85" s="282" t="e">
        <f t="shared" si="42"/>
        <v>#DIV/0!</v>
      </c>
      <c r="M85" s="286" t="e">
        <f>0.01*FORMAT_HAR_I!BV27*C85*1000</f>
        <v>#DIV/0!</v>
      </c>
      <c r="N85" s="231" t="e">
        <f t="shared" si="43"/>
        <v>#DIV/0!</v>
      </c>
      <c r="O85" s="231">
        <f t="shared" si="59"/>
        <v>0.23913200000000004</v>
      </c>
      <c r="P85" s="276">
        <f t="shared" si="45"/>
        <v>0.23629964986291582</v>
      </c>
      <c r="Q85" s="276"/>
      <c r="R85" s="199">
        <f t="shared" si="56"/>
        <v>5.0000000000000001E-3</v>
      </c>
      <c r="S85" s="282" t="e">
        <f t="shared" si="47"/>
        <v>#DIV/0!</v>
      </c>
      <c r="T85" s="541" t="e">
        <f t="shared" si="48"/>
        <v>#DIV/0!</v>
      </c>
      <c r="U85" s="312">
        <f t="shared" si="49"/>
        <v>0.48915000000000003</v>
      </c>
      <c r="V85" s="458">
        <f t="shared" si="57"/>
        <v>7.5</v>
      </c>
      <c r="W85" s="463" t="e">
        <f t="shared" si="51"/>
        <v>#DIV/0!</v>
      </c>
      <c r="X85" s="316" t="e">
        <f t="shared" si="52"/>
        <v>#DIV/0!</v>
      </c>
      <c r="Y85" s="319" t="e">
        <f t="shared" si="53"/>
        <v>#DIV/0!</v>
      </c>
      <c r="Z85" s="316" t="e">
        <f t="shared" si="54"/>
        <v>#DIV/0!</v>
      </c>
    </row>
    <row r="86" spans="1:26" ht="12.9" customHeight="1">
      <c r="A86" s="116">
        <f t="shared" si="37"/>
        <v>1200</v>
      </c>
      <c r="B86" s="50">
        <v>24</v>
      </c>
      <c r="C86" s="5">
        <f>FORMAT_HAR_I!C28</f>
        <v>7.6670000000000002E-2</v>
      </c>
      <c r="D86" s="361" t="e">
        <f>FORMAT_HAR_I!BY28</f>
        <v>#DIV/0!</v>
      </c>
      <c r="E86" s="381" t="e">
        <f>FORMAT_HAR_I!CB28</f>
        <v>#DIV/0!</v>
      </c>
      <c r="F86" s="286" t="e">
        <f>0.01*FORMAT_HAR_I!AL28*C86*1000</f>
        <v>#DIV/0!</v>
      </c>
      <c r="G86" s="231" t="e">
        <f t="shared" si="38"/>
        <v>#DIV/0!</v>
      </c>
      <c r="H86" s="231">
        <f t="shared" si="58"/>
        <v>0.23066800000000001</v>
      </c>
      <c r="I86" s="276">
        <f t="shared" si="40"/>
        <v>0.18518955489103298</v>
      </c>
      <c r="J86" s="276"/>
      <c r="K86" s="199">
        <f t="shared" si="55"/>
        <v>5.0000000000000001E-3</v>
      </c>
      <c r="L86" s="282" t="e">
        <f t="shared" si="42"/>
        <v>#DIV/0!</v>
      </c>
      <c r="M86" s="286" t="e">
        <f>0.01*FORMAT_HAR_I!BV28*C86*1000</f>
        <v>#DIV/0!</v>
      </c>
      <c r="N86" s="231" t="e">
        <f t="shared" si="43"/>
        <v>#DIV/0!</v>
      </c>
      <c r="O86" s="231">
        <f t="shared" si="59"/>
        <v>0.23066800000000001</v>
      </c>
      <c r="P86" s="276">
        <f t="shared" si="45"/>
        <v>0.18518955489103298</v>
      </c>
      <c r="Q86" s="276"/>
      <c r="R86" s="199">
        <f t="shared" si="56"/>
        <v>5.0000000000000001E-3</v>
      </c>
      <c r="S86" s="282" t="e">
        <f t="shared" si="47"/>
        <v>#DIV/0!</v>
      </c>
      <c r="T86" s="541" t="e">
        <f t="shared" si="48"/>
        <v>#DIV/0!</v>
      </c>
      <c r="U86" s="312">
        <f t="shared" si="49"/>
        <v>0.38335000000000002</v>
      </c>
      <c r="V86" s="458">
        <f t="shared" si="57"/>
        <v>7.5</v>
      </c>
      <c r="W86" s="463" t="e">
        <f t="shared" si="51"/>
        <v>#DIV/0!</v>
      </c>
      <c r="X86" s="316" t="e">
        <f t="shared" si="52"/>
        <v>#DIV/0!</v>
      </c>
      <c r="Y86" s="319" t="e">
        <f t="shared" si="53"/>
        <v>#DIV/0!</v>
      </c>
      <c r="Z86" s="316" t="e">
        <f t="shared" si="54"/>
        <v>#DIV/0!</v>
      </c>
    </row>
    <row r="87" spans="1:26" ht="12.9" customHeight="1">
      <c r="A87" s="116">
        <f t="shared" si="37"/>
        <v>1250</v>
      </c>
      <c r="B87" s="50">
        <v>25</v>
      </c>
      <c r="C87" s="5">
        <f>FORMAT_HAR_I!C29</f>
        <v>0.09</v>
      </c>
      <c r="D87" s="361" t="e">
        <f>FORMAT_HAR_I!BY29</f>
        <v>#DIV/0!</v>
      </c>
      <c r="E87" s="381" t="e">
        <f>FORMAT_HAR_I!CB29</f>
        <v>#DIV/0!</v>
      </c>
      <c r="F87" s="286" t="e">
        <f>0.01*FORMAT_HAR_I!AL29*C87*1000</f>
        <v>#DIV/0!</v>
      </c>
      <c r="G87" s="231" t="e">
        <f t="shared" si="38"/>
        <v>#DIV/0!</v>
      </c>
      <c r="H87" s="231">
        <f t="shared" si="58"/>
        <v>0.23600000000000002</v>
      </c>
      <c r="I87" s="276">
        <f t="shared" si="40"/>
        <v>0.21738698239458679</v>
      </c>
      <c r="J87" s="276"/>
      <c r="K87" s="199">
        <f t="shared" si="55"/>
        <v>5.0000000000000001E-3</v>
      </c>
      <c r="L87" s="282" t="e">
        <f t="shared" si="42"/>
        <v>#DIV/0!</v>
      </c>
      <c r="M87" s="286" t="e">
        <f>0.01*FORMAT_HAR_I!BV29*C87*1000</f>
        <v>#DIV/0!</v>
      </c>
      <c r="N87" s="231" t="e">
        <f t="shared" si="43"/>
        <v>#DIV/0!</v>
      </c>
      <c r="O87" s="231">
        <f t="shared" si="59"/>
        <v>0.23600000000000002</v>
      </c>
      <c r="P87" s="276">
        <f t="shared" si="45"/>
        <v>0.21738698239458679</v>
      </c>
      <c r="Q87" s="276"/>
      <c r="R87" s="199">
        <f t="shared" si="56"/>
        <v>5.0000000000000001E-3</v>
      </c>
      <c r="S87" s="282" t="e">
        <f t="shared" si="47"/>
        <v>#DIV/0!</v>
      </c>
      <c r="T87" s="541" t="e">
        <f t="shared" si="48"/>
        <v>#DIV/0!</v>
      </c>
      <c r="U87" s="312">
        <f t="shared" si="49"/>
        <v>0.45</v>
      </c>
      <c r="V87" s="458">
        <f t="shared" si="57"/>
        <v>7.5</v>
      </c>
      <c r="W87" s="463" t="e">
        <f t="shared" si="51"/>
        <v>#DIV/0!</v>
      </c>
      <c r="X87" s="316" t="e">
        <f t="shared" si="52"/>
        <v>#DIV/0!</v>
      </c>
      <c r="Y87" s="319" t="e">
        <f t="shared" si="53"/>
        <v>#DIV/0!</v>
      </c>
      <c r="Z87" s="316" t="e">
        <f t="shared" si="54"/>
        <v>#DIV/0!</v>
      </c>
    </row>
    <row r="88" spans="1:26" ht="12.9" customHeight="1">
      <c r="A88" s="116">
        <f t="shared" si="37"/>
        <v>1300</v>
      </c>
      <c r="B88" s="50">
        <v>26</v>
      </c>
      <c r="C88" s="5">
        <f>FORMAT_HAR_I!C30</f>
        <v>7.077E-2</v>
      </c>
      <c r="D88" s="361" t="e">
        <f>FORMAT_HAR_I!BY30</f>
        <v>#DIV/0!</v>
      </c>
      <c r="E88" s="381" t="e">
        <f>FORMAT_HAR_I!CB30</f>
        <v>#DIV/0!</v>
      </c>
      <c r="F88" s="286" t="e">
        <f>0.01*FORMAT_HAR_I!AL30*C88*1000</f>
        <v>#DIV/0!</v>
      </c>
      <c r="G88" s="231" t="e">
        <f t="shared" si="38"/>
        <v>#DIV/0!</v>
      </c>
      <c r="H88" s="231">
        <f t="shared" si="58"/>
        <v>0.22830800000000001</v>
      </c>
      <c r="I88" s="276">
        <f t="shared" si="40"/>
        <v>0.17093863048961006</v>
      </c>
      <c r="J88" s="276"/>
      <c r="K88" s="199">
        <f t="shared" si="55"/>
        <v>5.0000000000000001E-3</v>
      </c>
      <c r="L88" s="282" t="e">
        <f t="shared" si="42"/>
        <v>#DIV/0!</v>
      </c>
      <c r="M88" s="286" t="e">
        <f>0.01*FORMAT_HAR_I!BV30*C88*1000</f>
        <v>#DIV/0!</v>
      </c>
      <c r="N88" s="231" t="e">
        <f t="shared" si="43"/>
        <v>#DIV/0!</v>
      </c>
      <c r="O88" s="231">
        <f t="shared" si="59"/>
        <v>0.22830800000000001</v>
      </c>
      <c r="P88" s="276">
        <f t="shared" si="45"/>
        <v>0.17093863048961006</v>
      </c>
      <c r="Q88" s="276"/>
      <c r="R88" s="199">
        <f t="shared" si="56"/>
        <v>5.0000000000000001E-3</v>
      </c>
      <c r="S88" s="282" t="e">
        <f t="shared" si="47"/>
        <v>#DIV/0!</v>
      </c>
      <c r="T88" s="541" t="e">
        <f t="shared" si="48"/>
        <v>#DIV/0!</v>
      </c>
      <c r="U88" s="312">
        <f t="shared" si="49"/>
        <v>0.35385</v>
      </c>
      <c r="V88" s="458">
        <f t="shared" si="57"/>
        <v>7.5</v>
      </c>
      <c r="W88" s="463" t="e">
        <f t="shared" si="51"/>
        <v>#DIV/0!</v>
      </c>
      <c r="X88" s="316" t="e">
        <f t="shared" si="52"/>
        <v>#DIV/0!</v>
      </c>
      <c r="Y88" s="319" t="e">
        <f t="shared" si="53"/>
        <v>#DIV/0!</v>
      </c>
      <c r="Z88" s="316" t="e">
        <f t="shared" si="54"/>
        <v>#DIV/0!</v>
      </c>
    </row>
    <row r="89" spans="1:26" ht="12.9" customHeight="1">
      <c r="A89" s="116">
        <f t="shared" si="37"/>
        <v>1350</v>
      </c>
      <c r="B89" s="50">
        <v>27</v>
      </c>
      <c r="C89" s="5">
        <f>FORMAT_HAR_I!C31</f>
        <v>8.3330000000000001E-2</v>
      </c>
      <c r="D89" s="361" t="e">
        <f>FORMAT_HAR_I!BY31</f>
        <v>#DIV/0!</v>
      </c>
      <c r="E89" s="381" t="e">
        <f>FORMAT_HAR_I!CB31</f>
        <v>#DIV/0!</v>
      </c>
      <c r="F89" s="286" t="e">
        <f>0.01*FORMAT_HAR_I!AL31*C89*1000</f>
        <v>#DIV/0!</v>
      </c>
      <c r="G89" s="231" t="e">
        <f t="shared" si="38"/>
        <v>#DIV/0!</v>
      </c>
      <c r="H89" s="231">
        <f t="shared" si="58"/>
        <v>0.23333200000000001</v>
      </c>
      <c r="I89" s="276">
        <f t="shared" si="40"/>
        <v>0.2012761915882324</v>
      </c>
      <c r="J89" s="276"/>
      <c r="K89" s="199">
        <f t="shared" si="55"/>
        <v>5.0000000000000001E-3</v>
      </c>
      <c r="L89" s="282" t="e">
        <f t="shared" si="42"/>
        <v>#DIV/0!</v>
      </c>
      <c r="M89" s="286" t="e">
        <f>0.01*FORMAT_HAR_I!BV31*C89*1000</f>
        <v>#DIV/0!</v>
      </c>
      <c r="N89" s="231" t="e">
        <f t="shared" si="43"/>
        <v>#DIV/0!</v>
      </c>
      <c r="O89" s="231">
        <f t="shared" si="59"/>
        <v>0.23333200000000001</v>
      </c>
      <c r="P89" s="276">
        <f t="shared" si="45"/>
        <v>0.2012761915882324</v>
      </c>
      <c r="Q89" s="276"/>
      <c r="R89" s="199">
        <f t="shared" si="56"/>
        <v>5.0000000000000001E-3</v>
      </c>
      <c r="S89" s="282" t="e">
        <f t="shared" si="47"/>
        <v>#DIV/0!</v>
      </c>
      <c r="T89" s="541" t="e">
        <f t="shared" si="48"/>
        <v>#DIV/0!</v>
      </c>
      <c r="U89" s="312">
        <f t="shared" si="49"/>
        <v>0.41665000000000002</v>
      </c>
      <c r="V89" s="458">
        <f t="shared" si="57"/>
        <v>7.5</v>
      </c>
      <c r="W89" s="463" t="e">
        <f t="shared" si="51"/>
        <v>#DIV/0!</v>
      </c>
      <c r="X89" s="316" t="e">
        <f t="shared" si="52"/>
        <v>#DIV/0!</v>
      </c>
      <c r="Y89" s="319" t="e">
        <f t="shared" si="53"/>
        <v>#DIV/0!</v>
      </c>
      <c r="Z89" s="316" t="e">
        <f t="shared" si="54"/>
        <v>#DIV/0!</v>
      </c>
    </row>
    <row r="90" spans="1:26" ht="12.9" customHeight="1">
      <c r="A90" s="116">
        <f t="shared" si="37"/>
        <v>1400</v>
      </c>
      <c r="B90" s="50">
        <v>28</v>
      </c>
      <c r="C90" s="5">
        <f>FORMAT_HAR_I!C32</f>
        <v>6.5710000000000005E-2</v>
      </c>
      <c r="D90" s="361" t="e">
        <f>FORMAT_HAR_I!BY32</f>
        <v>#DIV/0!</v>
      </c>
      <c r="E90" s="381" t="e">
        <f>FORMAT_HAR_I!CB32</f>
        <v>#DIV/0!</v>
      </c>
      <c r="F90" s="286" t="e">
        <f>0.01*FORMAT_HAR_I!AL32*C90*1000</f>
        <v>#DIV/0!</v>
      </c>
      <c r="G90" s="231" t="e">
        <f t="shared" si="38"/>
        <v>#DIV/0!</v>
      </c>
      <c r="H90" s="231">
        <f t="shared" si="58"/>
        <v>0.22628400000000001</v>
      </c>
      <c r="I90" s="276">
        <f t="shared" si="40"/>
        <v>0.15871665125720333</v>
      </c>
      <c r="J90" s="276"/>
      <c r="K90" s="199">
        <f t="shared" si="55"/>
        <v>5.0000000000000001E-3</v>
      </c>
      <c r="L90" s="282" t="e">
        <f t="shared" si="42"/>
        <v>#DIV/0!</v>
      </c>
      <c r="M90" s="286" t="e">
        <f>0.01*FORMAT_HAR_I!BV32*C90*1000</f>
        <v>#DIV/0!</v>
      </c>
      <c r="N90" s="231" t="e">
        <f t="shared" si="43"/>
        <v>#DIV/0!</v>
      </c>
      <c r="O90" s="231">
        <f t="shared" si="59"/>
        <v>0.22628400000000001</v>
      </c>
      <c r="P90" s="276">
        <f t="shared" si="45"/>
        <v>0.15871665125720333</v>
      </c>
      <c r="Q90" s="276"/>
      <c r="R90" s="199">
        <f t="shared" si="56"/>
        <v>5.0000000000000001E-3</v>
      </c>
      <c r="S90" s="282" t="e">
        <f t="shared" si="47"/>
        <v>#DIV/0!</v>
      </c>
      <c r="T90" s="541" t="e">
        <f t="shared" si="48"/>
        <v>#DIV/0!</v>
      </c>
      <c r="U90" s="312">
        <f t="shared" si="49"/>
        <v>0.32855000000000006</v>
      </c>
      <c r="V90" s="458">
        <f t="shared" si="57"/>
        <v>7.5</v>
      </c>
      <c r="W90" s="463" t="e">
        <f t="shared" si="51"/>
        <v>#DIV/0!</v>
      </c>
      <c r="X90" s="316" t="e">
        <f t="shared" si="52"/>
        <v>#DIV/0!</v>
      </c>
      <c r="Y90" s="319" t="e">
        <f t="shared" si="53"/>
        <v>#DIV/0!</v>
      </c>
      <c r="Z90" s="316" t="e">
        <f t="shared" si="54"/>
        <v>#DIV/0!</v>
      </c>
    </row>
    <row r="91" spans="1:26" ht="12.9" customHeight="1">
      <c r="A91" s="116">
        <f t="shared" si="37"/>
        <v>1450</v>
      </c>
      <c r="B91" s="50">
        <v>29</v>
      </c>
      <c r="C91" s="5">
        <f>FORMAT_HAR_I!C33</f>
        <v>7.7590000000000006E-2</v>
      </c>
      <c r="D91" s="361" t="e">
        <f>FORMAT_HAR_I!BY33</f>
        <v>#DIV/0!</v>
      </c>
      <c r="E91" s="381" t="e">
        <f>FORMAT_HAR_I!CB33</f>
        <v>#DIV/0!</v>
      </c>
      <c r="F91" s="286" t="e">
        <f>0.01*FORMAT_HAR_I!AL33*C91*1000</f>
        <v>#DIV/0!</v>
      </c>
      <c r="G91" s="231" t="e">
        <f t="shared" si="38"/>
        <v>#DIV/0!</v>
      </c>
      <c r="H91" s="231">
        <f t="shared" si="58"/>
        <v>0.23103599999999999</v>
      </c>
      <c r="I91" s="276">
        <f t="shared" si="40"/>
        <v>0.18741173293328878</v>
      </c>
      <c r="J91" s="276"/>
      <c r="K91" s="199">
        <f t="shared" si="55"/>
        <v>5.0000000000000001E-3</v>
      </c>
      <c r="L91" s="282" t="e">
        <f t="shared" si="42"/>
        <v>#DIV/0!</v>
      </c>
      <c r="M91" s="286" t="e">
        <f>0.01*FORMAT_HAR_I!BV33*C91*1000</f>
        <v>#DIV/0!</v>
      </c>
      <c r="N91" s="231" t="e">
        <f t="shared" si="43"/>
        <v>#DIV/0!</v>
      </c>
      <c r="O91" s="231">
        <f t="shared" si="59"/>
        <v>0.23103599999999999</v>
      </c>
      <c r="P91" s="276">
        <f t="shared" si="45"/>
        <v>0.18741173293328878</v>
      </c>
      <c r="Q91" s="276"/>
      <c r="R91" s="199">
        <f t="shared" si="56"/>
        <v>5.0000000000000001E-3</v>
      </c>
      <c r="S91" s="282" t="e">
        <f t="shared" si="47"/>
        <v>#DIV/0!</v>
      </c>
      <c r="T91" s="541" t="e">
        <f t="shared" si="48"/>
        <v>#DIV/0!</v>
      </c>
      <c r="U91" s="312">
        <f t="shared" si="49"/>
        <v>0.38795000000000002</v>
      </c>
      <c r="V91" s="458">
        <f t="shared" si="57"/>
        <v>7.5</v>
      </c>
      <c r="W91" s="463" t="e">
        <f t="shared" si="51"/>
        <v>#DIV/0!</v>
      </c>
      <c r="X91" s="316" t="e">
        <f t="shared" si="52"/>
        <v>#DIV/0!</v>
      </c>
      <c r="Y91" s="319" t="e">
        <f t="shared" si="53"/>
        <v>#DIV/0!</v>
      </c>
      <c r="Z91" s="316" t="e">
        <f t="shared" si="54"/>
        <v>#DIV/0!</v>
      </c>
    </row>
    <row r="92" spans="1:26" ht="12.9" customHeight="1">
      <c r="A92" s="116">
        <f t="shared" si="37"/>
        <v>1500</v>
      </c>
      <c r="B92" s="50">
        <v>30</v>
      </c>
      <c r="C92" s="5">
        <f>FORMAT_HAR_I!C34</f>
        <v>6.1330000000000003E-2</v>
      </c>
      <c r="D92" s="361" t="e">
        <f>FORMAT_HAR_I!BY34</f>
        <v>#DIV/0!</v>
      </c>
      <c r="E92" s="381" t="e">
        <f>FORMAT_HAR_I!CB34</f>
        <v>#DIV/0!</v>
      </c>
      <c r="F92" s="286" t="e">
        <f>0.01*FORMAT_HAR_I!AL34*C92*1000</f>
        <v>#DIV/0!</v>
      </c>
      <c r="G92" s="231" t="e">
        <f t="shared" si="38"/>
        <v>#DIV/0!</v>
      </c>
      <c r="H92" s="231">
        <f t="shared" si="58"/>
        <v>0.22453200000000001</v>
      </c>
      <c r="I92" s="276">
        <f t="shared" si="40"/>
        <v>0.14813715144733344</v>
      </c>
      <c r="J92" s="276"/>
      <c r="K92" s="199">
        <f t="shared" si="55"/>
        <v>5.0000000000000001E-3</v>
      </c>
      <c r="L92" s="282" t="e">
        <f t="shared" si="42"/>
        <v>#DIV/0!</v>
      </c>
      <c r="M92" s="286" t="e">
        <f>0.01*FORMAT_HAR_I!BV34*C92*1000</f>
        <v>#DIV/0!</v>
      </c>
      <c r="N92" s="231" t="e">
        <f t="shared" si="43"/>
        <v>#DIV/0!</v>
      </c>
      <c r="O92" s="231">
        <f t="shared" si="59"/>
        <v>0.22453200000000001</v>
      </c>
      <c r="P92" s="276">
        <f t="shared" si="45"/>
        <v>0.14813715144733344</v>
      </c>
      <c r="Q92" s="276"/>
      <c r="R92" s="199">
        <f t="shared" si="56"/>
        <v>5.0000000000000001E-3</v>
      </c>
      <c r="S92" s="282" t="e">
        <f t="shared" si="47"/>
        <v>#DIV/0!</v>
      </c>
      <c r="T92" s="541" t="e">
        <f t="shared" si="48"/>
        <v>#DIV/0!</v>
      </c>
      <c r="U92" s="312">
        <f t="shared" si="49"/>
        <v>0.30664999999999998</v>
      </c>
      <c r="V92" s="458">
        <f t="shared" si="57"/>
        <v>7.5</v>
      </c>
      <c r="W92" s="463" t="e">
        <f t="shared" si="51"/>
        <v>#DIV/0!</v>
      </c>
      <c r="X92" s="316" t="e">
        <f t="shared" si="52"/>
        <v>#DIV/0!</v>
      </c>
      <c r="Y92" s="319" t="e">
        <f t="shared" si="53"/>
        <v>#DIV/0!</v>
      </c>
      <c r="Z92" s="316" t="e">
        <f t="shared" si="54"/>
        <v>#DIV/0!</v>
      </c>
    </row>
    <row r="93" spans="1:26" ht="12.9" customHeight="1">
      <c r="A93" s="116">
        <f t="shared" si="37"/>
        <v>1550</v>
      </c>
      <c r="B93" s="50">
        <v>31</v>
      </c>
      <c r="C93" s="5">
        <f>FORMAT_HAR_I!C35</f>
        <v>7.2580000000000006E-2</v>
      </c>
      <c r="D93" s="361" t="e">
        <f>FORMAT_HAR_I!BY35</f>
        <v>#DIV/0!</v>
      </c>
      <c r="E93" s="381" t="e">
        <f>FORMAT_HAR_I!CB35</f>
        <v>#DIV/0!</v>
      </c>
      <c r="F93" s="286" t="e">
        <f>0.01*FORMAT_HAR_I!AL35*C93*1000</f>
        <v>#DIV/0!</v>
      </c>
      <c r="G93" s="231" t="e">
        <f t="shared" si="38"/>
        <v>#DIV/0!</v>
      </c>
      <c r="H93" s="231">
        <f t="shared" si="58"/>
        <v>0.22903199999999999</v>
      </c>
      <c r="I93" s="276">
        <f t="shared" si="40"/>
        <v>0.1753105242466568</v>
      </c>
      <c r="J93" s="276"/>
      <c r="K93" s="199">
        <f t="shared" si="55"/>
        <v>5.0000000000000001E-3</v>
      </c>
      <c r="L93" s="282" t="e">
        <f t="shared" si="42"/>
        <v>#DIV/0!</v>
      </c>
      <c r="M93" s="286" t="e">
        <f>0.01*FORMAT_HAR_I!BV35*C93*1000</f>
        <v>#DIV/0!</v>
      </c>
      <c r="N93" s="231" t="e">
        <f t="shared" si="43"/>
        <v>#DIV/0!</v>
      </c>
      <c r="O93" s="231">
        <f t="shared" si="59"/>
        <v>0.22903199999999999</v>
      </c>
      <c r="P93" s="276">
        <f t="shared" si="45"/>
        <v>0.1753105242466568</v>
      </c>
      <c r="Q93" s="276"/>
      <c r="R93" s="199">
        <f t="shared" si="56"/>
        <v>5.0000000000000001E-3</v>
      </c>
      <c r="S93" s="282" t="e">
        <f t="shared" si="47"/>
        <v>#DIV/0!</v>
      </c>
      <c r="T93" s="541" t="e">
        <f t="shared" si="48"/>
        <v>#DIV/0!</v>
      </c>
      <c r="U93" s="312">
        <f t="shared" si="49"/>
        <v>0.36290000000000006</v>
      </c>
      <c r="V93" s="458">
        <f t="shared" si="57"/>
        <v>7.5</v>
      </c>
      <c r="W93" s="463" t="e">
        <f t="shared" si="51"/>
        <v>#DIV/0!</v>
      </c>
      <c r="X93" s="316" t="e">
        <f t="shared" si="52"/>
        <v>#DIV/0!</v>
      </c>
      <c r="Y93" s="319" t="e">
        <f t="shared" si="53"/>
        <v>#DIV/0!</v>
      </c>
      <c r="Z93" s="316" t="e">
        <f t="shared" si="54"/>
        <v>#DIV/0!</v>
      </c>
    </row>
    <row r="94" spans="1:26" ht="12.9" customHeight="1">
      <c r="A94" s="116">
        <f t="shared" si="37"/>
        <v>1600</v>
      </c>
      <c r="B94" s="50">
        <v>32</v>
      </c>
      <c r="C94" s="5">
        <f>FORMAT_HAR_I!C36</f>
        <v>5.7500000000000002E-2</v>
      </c>
      <c r="D94" s="361" t="e">
        <f>FORMAT_HAR_I!BY36</f>
        <v>#DIV/0!</v>
      </c>
      <c r="E94" s="381" t="e">
        <f>FORMAT_HAR_I!CB36</f>
        <v>#DIV/0!</v>
      </c>
      <c r="F94" s="286" t="e">
        <f>0.01*FORMAT_HAR_I!AL36*C94*1000</f>
        <v>#DIV/0!</v>
      </c>
      <c r="G94" s="231" t="e">
        <f t="shared" si="38"/>
        <v>#DIV/0!</v>
      </c>
      <c r="H94" s="231">
        <f t="shared" si="58"/>
        <v>0.223</v>
      </c>
      <c r="I94" s="276">
        <f t="shared" si="40"/>
        <v>0.13888612764098601</v>
      </c>
      <c r="J94" s="276"/>
      <c r="K94" s="199">
        <f t="shared" si="55"/>
        <v>5.0000000000000001E-3</v>
      </c>
      <c r="L94" s="282" t="e">
        <f t="shared" si="42"/>
        <v>#DIV/0!</v>
      </c>
      <c r="M94" s="286" t="e">
        <f>0.01*FORMAT_HAR_I!BV36*C94*1000</f>
        <v>#DIV/0!</v>
      </c>
      <c r="N94" s="231" t="e">
        <f t="shared" si="43"/>
        <v>#DIV/0!</v>
      </c>
      <c r="O94" s="231">
        <f t="shared" si="59"/>
        <v>0.223</v>
      </c>
      <c r="P94" s="276">
        <f t="shared" si="45"/>
        <v>0.13888612764098601</v>
      </c>
      <c r="Q94" s="276"/>
      <c r="R94" s="199">
        <f t="shared" si="56"/>
        <v>5.0000000000000001E-3</v>
      </c>
      <c r="S94" s="282" t="e">
        <f t="shared" si="47"/>
        <v>#DIV/0!</v>
      </c>
      <c r="T94" s="541" t="e">
        <f t="shared" si="48"/>
        <v>#DIV/0!</v>
      </c>
      <c r="U94" s="312">
        <f t="shared" si="49"/>
        <v>0.28749999999999998</v>
      </c>
      <c r="V94" s="458">
        <f t="shared" si="57"/>
        <v>7.5</v>
      </c>
      <c r="W94" s="463" t="e">
        <f t="shared" si="51"/>
        <v>#DIV/0!</v>
      </c>
      <c r="X94" s="316" t="e">
        <f t="shared" si="52"/>
        <v>#DIV/0!</v>
      </c>
      <c r="Y94" s="319" t="e">
        <f t="shared" si="53"/>
        <v>#DIV/0!</v>
      </c>
      <c r="Z94" s="316" t="e">
        <f t="shared" si="54"/>
        <v>#DIV/0!</v>
      </c>
    </row>
    <row r="95" spans="1:26" ht="12.9" customHeight="1">
      <c r="A95" s="116">
        <f t="shared" si="37"/>
        <v>1650</v>
      </c>
      <c r="B95" s="50">
        <v>33</v>
      </c>
      <c r="C95" s="5">
        <f>FORMAT_HAR_I!C37</f>
        <v>6.8180000000000004E-2</v>
      </c>
      <c r="D95" s="361" t="e">
        <f>FORMAT_HAR_I!BY37</f>
        <v>#DIV/0!</v>
      </c>
      <c r="E95" s="381" t="e">
        <f>FORMAT_HAR_I!CB37</f>
        <v>#DIV/0!</v>
      </c>
      <c r="F95" s="286" t="e">
        <f>0.01*FORMAT_HAR_I!AL37*C95*1000</f>
        <v>#DIV/0!</v>
      </c>
      <c r="G95" s="231" t="e">
        <f t="shared" si="38"/>
        <v>#DIV/0!</v>
      </c>
      <c r="H95" s="231">
        <f t="shared" si="58"/>
        <v>0.227272</v>
      </c>
      <c r="I95" s="276">
        <f t="shared" si="40"/>
        <v>0.16468271621847699</v>
      </c>
      <c r="J95" s="276"/>
      <c r="K95" s="199">
        <f t="shared" si="55"/>
        <v>5.0000000000000001E-3</v>
      </c>
      <c r="L95" s="282" t="e">
        <f t="shared" si="42"/>
        <v>#DIV/0!</v>
      </c>
      <c r="M95" s="286" t="e">
        <f>0.01*FORMAT_HAR_I!BV37*C95*1000</f>
        <v>#DIV/0!</v>
      </c>
      <c r="N95" s="231" t="e">
        <f t="shared" si="43"/>
        <v>#DIV/0!</v>
      </c>
      <c r="O95" s="231">
        <f t="shared" si="59"/>
        <v>0.227272</v>
      </c>
      <c r="P95" s="276">
        <f t="shared" si="45"/>
        <v>0.16468271621847699</v>
      </c>
      <c r="Q95" s="276"/>
      <c r="R95" s="199">
        <f t="shared" si="56"/>
        <v>5.0000000000000001E-3</v>
      </c>
      <c r="S95" s="282" t="e">
        <f t="shared" si="47"/>
        <v>#DIV/0!</v>
      </c>
      <c r="T95" s="541" t="e">
        <f t="shared" si="48"/>
        <v>#DIV/0!</v>
      </c>
      <c r="U95" s="312">
        <f t="shared" si="49"/>
        <v>0.34090000000000004</v>
      </c>
      <c r="V95" s="458">
        <f t="shared" si="57"/>
        <v>7.5</v>
      </c>
      <c r="W95" s="463" t="e">
        <f t="shared" si="51"/>
        <v>#DIV/0!</v>
      </c>
      <c r="X95" s="316" t="e">
        <f t="shared" si="52"/>
        <v>#DIV/0!</v>
      </c>
      <c r="Y95" s="319" t="e">
        <f t="shared" si="53"/>
        <v>#DIV/0!</v>
      </c>
      <c r="Z95" s="316" t="e">
        <f t="shared" si="54"/>
        <v>#DIV/0!</v>
      </c>
    </row>
    <row r="96" spans="1:26" ht="12.9" customHeight="1">
      <c r="A96" s="116">
        <f t="shared" si="37"/>
        <v>1700</v>
      </c>
      <c r="B96" s="50">
        <v>34</v>
      </c>
      <c r="C96" s="5">
        <f>FORMAT_HAR_I!C38</f>
        <v>5.4120000000000001E-2</v>
      </c>
      <c r="D96" s="361" t="e">
        <f>FORMAT_HAR_I!BY38</f>
        <v>#DIV/0!</v>
      </c>
      <c r="E96" s="381" t="e">
        <f>FORMAT_HAR_I!CB38</f>
        <v>#DIV/0!</v>
      </c>
      <c r="F96" s="286" t="e">
        <f>0.01*FORMAT_HAR_I!AL38*C96*1000</f>
        <v>#DIV/0!</v>
      </c>
      <c r="G96" s="231" t="e">
        <f t="shared" si="38"/>
        <v>#DIV/0!</v>
      </c>
      <c r="H96" s="231">
        <f t="shared" si="58"/>
        <v>0.22164800000000001</v>
      </c>
      <c r="I96" s="276">
        <f t="shared" si="40"/>
        <v>0.13072203874661154</v>
      </c>
      <c r="J96" s="276"/>
      <c r="K96" s="199">
        <f t="shared" si="55"/>
        <v>5.0000000000000001E-3</v>
      </c>
      <c r="L96" s="282" t="e">
        <f t="shared" si="42"/>
        <v>#DIV/0!</v>
      </c>
      <c r="M96" s="286" t="e">
        <f>0.01*FORMAT_HAR_I!BV38*C96*1000</f>
        <v>#DIV/0!</v>
      </c>
      <c r="N96" s="231" t="e">
        <f t="shared" si="43"/>
        <v>#DIV/0!</v>
      </c>
      <c r="O96" s="231">
        <f t="shared" si="59"/>
        <v>0.22164800000000001</v>
      </c>
      <c r="P96" s="276">
        <f t="shared" si="45"/>
        <v>0.13072203874661154</v>
      </c>
      <c r="Q96" s="276"/>
      <c r="R96" s="199">
        <f t="shared" si="56"/>
        <v>5.0000000000000001E-3</v>
      </c>
      <c r="S96" s="282" t="e">
        <f t="shared" si="47"/>
        <v>#DIV/0!</v>
      </c>
      <c r="T96" s="541" t="e">
        <f t="shared" si="48"/>
        <v>#DIV/0!</v>
      </c>
      <c r="U96" s="312">
        <f t="shared" si="49"/>
        <v>0.27060000000000001</v>
      </c>
      <c r="V96" s="458">
        <f t="shared" si="57"/>
        <v>7.5</v>
      </c>
      <c r="W96" s="463" t="e">
        <f t="shared" si="51"/>
        <v>#DIV/0!</v>
      </c>
      <c r="X96" s="316" t="e">
        <f t="shared" si="52"/>
        <v>#DIV/0!</v>
      </c>
      <c r="Y96" s="319" t="e">
        <f t="shared" si="53"/>
        <v>#DIV/0!</v>
      </c>
      <c r="Z96" s="316" t="e">
        <f t="shared" si="54"/>
        <v>#DIV/0!</v>
      </c>
    </row>
    <row r="97" spans="1:26" ht="12.9" customHeight="1">
      <c r="A97" s="116">
        <f t="shared" si="37"/>
        <v>1750</v>
      </c>
      <c r="B97" s="50">
        <v>35</v>
      </c>
      <c r="C97" s="5">
        <f>FORMAT_HAR_I!C39</f>
        <v>6.429E-2</v>
      </c>
      <c r="D97" s="361" t="e">
        <f>FORMAT_HAR_I!BY39</f>
        <v>#DIV/0!</v>
      </c>
      <c r="E97" s="381" t="e">
        <f>FORMAT_HAR_I!CB39</f>
        <v>#DIV/0!</v>
      </c>
      <c r="F97" s="286" t="e">
        <f>0.01*FORMAT_HAR_I!AL39*C97*1000</f>
        <v>#DIV/0!</v>
      </c>
      <c r="G97" s="231" t="e">
        <f t="shared" si="38"/>
        <v>#DIV/0!</v>
      </c>
      <c r="H97" s="231">
        <f t="shared" si="58"/>
        <v>0.22571600000000003</v>
      </c>
      <c r="I97" s="276">
        <f t="shared" si="40"/>
        <v>0.15528676775719982</v>
      </c>
      <c r="J97" s="276"/>
      <c r="K97" s="199">
        <f t="shared" si="55"/>
        <v>5.0000000000000001E-3</v>
      </c>
      <c r="L97" s="282" t="e">
        <f t="shared" si="42"/>
        <v>#DIV/0!</v>
      </c>
      <c r="M97" s="286" t="e">
        <f>0.01*FORMAT_HAR_I!BV39*C97*1000</f>
        <v>#DIV/0!</v>
      </c>
      <c r="N97" s="231" t="e">
        <f t="shared" si="43"/>
        <v>#DIV/0!</v>
      </c>
      <c r="O97" s="231">
        <f t="shared" si="59"/>
        <v>0.22571600000000003</v>
      </c>
      <c r="P97" s="276">
        <f t="shared" si="45"/>
        <v>0.15528676775719982</v>
      </c>
      <c r="Q97" s="276"/>
      <c r="R97" s="199">
        <f t="shared" si="56"/>
        <v>5.0000000000000001E-3</v>
      </c>
      <c r="S97" s="282" t="e">
        <f t="shared" si="47"/>
        <v>#DIV/0!</v>
      </c>
      <c r="T97" s="541" t="e">
        <f t="shared" si="48"/>
        <v>#DIV/0!</v>
      </c>
      <c r="U97" s="312">
        <f t="shared" si="49"/>
        <v>0.32144999999999996</v>
      </c>
      <c r="V97" s="458">
        <f t="shared" si="57"/>
        <v>7.5</v>
      </c>
      <c r="W97" s="463" t="e">
        <f t="shared" si="51"/>
        <v>#DIV/0!</v>
      </c>
      <c r="X97" s="316" t="e">
        <f t="shared" si="52"/>
        <v>#DIV/0!</v>
      </c>
      <c r="Y97" s="319" t="e">
        <f t="shared" si="53"/>
        <v>#DIV/0!</v>
      </c>
      <c r="Z97" s="316" t="e">
        <f t="shared" si="54"/>
        <v>#DIV/0!</v>
      </c>
    </row>
    <row r="98" spans="1:26" ht="12.9" customHeight="1">
      <c r="A98" s="116">
        <f t="shared" si="37"/>
        <v>1800</v>
      </c>
      <c r="B98" s="50">
        <v>36</v>
      </c>
      <c r="C98" s="5">
        <f>FORMAT_HAR_I!C40</f>
        <v>5.1110000000000003E-2</v>
      </c>
      <c r="D98" s="361" t="e">
        <f>FORMAT_HAR_I!BY40</f>
        <v>#DIV/0!</v>
      </c>
      <c r="E98" s="381" t="e">
        <f>FORMAT_HAR_I!CB40</f>
        <v>#DIV/0!</v>
      </c>
      <c r="F98" s="286" t="e">
        <f>0.01*FORMAT_HAR_I!AL40*C98*1000</f>
        <v>#DIV/0!</v>
      </c>
      <c r="G98" s="231" t="e">
        <f t="shared" si="38"/>
        <v>#DIV/0!</v>
      </c>
      <c r="H98" s="231">
        <f t="shared" si="58"/>
        <v>0.220444</v>
      </c>
      <c r="I98" s="276">
        <f t="shared" si="40"/>
        <v>0.12345165189097035</v>
      </c>
      <c r="J98" s="276"/>
      <c r="K98" s="199">
        <f t="shared" si="55"/>
        <v>5.0000000000000001E-3</v>
      </c>
      <c r="L98" s="282" t="e">
        <f t="shared" si="42"/>
        <v>#DIV/0!</v>
      </c>
      <c r="M98" s="286" t="e">
        <f>0.01*FORMAT_HAR_I!BV40*C98*1000</f>
        <v>#DIV/0!</v>
      </c>
      <c r="N98" s="231" t="e">
        <f t="shared" si="43"/>
        <v>#DIV/0!</v>
      </c>
      <c r="O98" s="231">
        <f t="shared" si="59"/>
        <v>0.220444</v>
      </c>
      <c r="P98" s="276">
        <f t="shared" si="45"/>
        <v>0.12345165189097035</v>
      </c>
      <c r="Q98" s="276"/>
      <c r="R98" s="199">
        <f t="shared" si="56"/>
        <v>5.0000000000000001E-3</v>
      </c>
      <c r="S98" s="282" t="e">
        <f t="shared" si="47"/>
        <v>#DIV/0!</v>
      </c>
      <c r="T98" s="541" t="e">
        <f t="shared" si="48"/>
        <v>#DIV/0!</v>
      </c>
      <c r="U98" s="312">
        <f t="shared" si="49"/>
        <v>0.25555</v>
      </c>
      <c r="V98" s="459">
        <f t="shared" si="57"/>
        <v>7.5</v>
      </c>
      <c r="W98" s="463" t="e">
        <f t="shared" si="51"/>
        <v>#DIV/0!</v>
      </c>
      <c r="X98" s="316" t="e">
        <f t="shared" si="52"/>
        <v>#DIV/0!</v>
      </c>
      <c r="Y98" s="319" t="e">
        <f t="shared" si="53"/>
        <v>#DIV/0!</v>
      </c>
      <c r="Z98" s="316" t="e">
        <f t="shared" si="54"/>
        <v>#DIV/0!</v>
      </c>
    </row>
    <row r="99" spans="1:26" ht="12.9" customHeight="1">
      <c r="A99" s="116">
        <f t="shared" si="37"/>
        <v>1850</v>
      </c>
      <c r="B99" s="50">
        <v>37</v>
      </c>
      <c r="C99" s="5">
        <f>FORMAT_HAR_I!C41</f>
        <v>6.0810000000000003E-2</v>
      </c>
      <c r="D99" s="361" t="e">
        <f>FORMAT_HAR_I!BY41</f>
        <v>#DIV/0!</v>
      </c>
      <c r="E99" s="381" t="e">
        <f>FORMAT_HAR_I!CB41</f>
        <v>#DIV/0!</v>
      </c>
      <c r="F99" s="286" t="e">
        <f>0.01*FORMAT_HAR_I!AL41*C99*1000</f>
        <v>#DIV/0!</v>
      </c>
      <c r="G99" s="231" t="e">
        <f t="shared" si="38"/>
        <v>#DIV/0!</v>
      </c>
      <c r="H99" s="231">
        <f t="shared" si="58"/>
        <v>0.224324</v>
      </c>
      <c r="I99" s="276">
        <f t="shared" si="40"/>
        <v>0.14688113777127582</v>
      </c>
      <c r="J99" s="276"/>
      <c r="K99" s="199">
        <f t="shared" si="55"/>
        <v>5.0000000000000001E-3</v>
      </c>
      <c r="L99" s="282" t="e">
        <f t="shared" si="42"/>
        <v>#DIV/0!</v>
      </c>
      <c r="M99" s="286" t="e">
        <f>0.01*FORMAT_HAR_I!BV41*C99*1000</f>
        <v>#DIV/0!</v>
      </c>
      <c r="N99" s="231" t="e">
        <f t="shared" si="43"/>
        <v>#DIV/0!</v>
      </c>
      <c r="O99" s="231">
        <f t="shared" si="59"/>
        <v>0.224324</v>
      </c>
      <c r="P99" s="276">
        <f t="shared" si="45"/>
        <v>0.14688113777127582</v>
      </c>
      <c r="Q99" s="276"/>
      <c r="R99" s="199">
        <f t="shared" si="56"/>
        <v>5.0000000000000001E-3</v>
      </c>
      <c r="S99" s="282" t="e">
        <f t="shared" si="47"/>
        <v>#DIV/0!</v>
      </c>
      <c r="T99" s="541" t="e">
        <f t="shared" si="48"/>
        <v>#DIV/0!</v>
      </c>
      <c r="U99" s="312">
        <f t="shared" si="49"/>
        <v>0.30405000000000004</v>
      </c>
      <c r="V99" s="459">
        <f t="shared" si="57"/>
        <v>7.5</v>
      </c>
      <c r="W99" s="463" t="e">
        <f t="shared" si="51"/>
        <v>#DIV/0!</v>
      </c>
      <c r="X99" s="316" t="e">
        <f t="shared" si="52"/>
        <v>#DIV/0!</v>
      </c>
      <c r="Y99" s="319" t="e">
        <f t="shared" si="53"/>
        <v>#DIV/0!</v>
      </c>
      <c r="Z99" s="316" t="e">
        <f t="shared" si="54"/>
        <v>#DIV/0!</v>
      </c>
    </row>
    <row r="100" spans="1:26" ht="12.9" customHeight="1">
      <c r="A100" s="116">
        <f t="shared" si="37"/>
        <v>1900</v>
      </c>
      <c r="B100" s="50">
        <v>38</v>
      </c>
      <c r="C100" s="5">
        <f>FORMAT_HAR_I!C42</f>
        <v>4.8419999999999998E-2</v>
      </c>
      <c r="D100" s="361" t="e">
        <f>FORMAT_HAR_I!BY42</f>
        <v>#DIV/0!</v>
      </c>
      <c r="E100" s="381" t="e">
        <f>FORMAT_HAR_I!CB42</f>
        <v>#DIV/0!</v>
      </c>
      <c r="F100" s="286" t="e">
        <f>0.01*FORMAT_HAR_I!AL42*C100*1000</f>
        <v>#DIV/0!</v>
      </c>
      <c r="G100" s="231" t="e">
        <f t="shared" si="38"/>
        <v>#DIV/0!</v>
      </c>
      <c r="H100" s="231">
        <f t="shared" si="58"/>
        <v>0.21936800000000001</v>
      </c>
      <c r="I100" s="276">
        <f t="shared" si="40"/>
        <v>0.11695419652828769</v>
      </c>
      <c r="J100" s="276"/>
      <c r="K100" s="199">
        <f t="shared" si="55"/>
        <v>5.0000000000000001E-3</v>
      </c>
      <c r="L100" s="282" t="e">
        <f t="shared" si="42"/>
        <v>#DIV/0!</v>
      </c>
      <c r="M100" s="286" t="e">
        <f>0.01*FORMAT_HAR_I!BV42*C100*1000</f>
        <v>#DIV/0!</v>
      </c>
      <c r="N100" s="231" t="e">
        <f t="shared" si="43"/>
        <v>#DIV/0!</v>
      </c>
      <c r="O100" s="231">
        <f t="shared" si="59"/>
        <v>0.21936800000000001</v>
      </c>
      <c r="P100" s="276">
        <f t="shared" si="45"/>
        <v>0.11695419652828769</v>
      </c>
      <c r="Q100" s="276"/>
      <c r="R100" s="199">
        <f t="shared" si="56"/>
        <v>5.0000000000000001E-3</v>
      </c>
      <c r="S100" s="282" t="e">
        <f t="shared" si="47"/>
        <v>#DIV/0!</v>
      </c>
      <c r="T100" s="541" t="e">
        <f t="shared" si="48"/>
        <v>#DIV/0!</v>
      </c>
      <c r="U100" s="312">
        <f t="shared" si="49"/>
        <v>0.24210000000000001</v>
      </c>
      <c r="V100" s="459">
        <f t="shared" si="57"/>
        <v>7.5</v>
      </c>
      <c r="W100" s="463" t="e">
        <f t="shared" si="51"/>
        <v>#DIV/0!</v>
      </c>
      <c r="X100" s="316" t="e">
        <f t="shared" si="52"/>
        <v>#DIV/0!</v>
      </c>
      <c r="Y100" s="319" t="e">
        <f t="shared" si="53"/>
        <v>#DIV/0!</v>
      </c>
      <c r="Z100" s="316" t="e">
        <f t="shared" si="54"/>
        <v>#DIV/0!</v>
      </c>
    </row>
    <row r="101" spans="1:26" ht="12.9" customHeight="1">
      <c r="A101" s="346">
        <f t="shared" si="37"/>
        <v>1950</v>
      </c>
      <c r="B101" s="347">
        <v>39</v>
      </c>
      <c r="C101" s="348">
        <f>FORMAT_HAR_I!C43</f>
        <v>5.7689999999999998E-2</v>
      </c>
      <c r="D101" s="361" t="e">
        <f>FORMAT_HAR_I!BY43</f>
        <v>#DIV/0!</v>
      </c>
      <c r="E101" s="381" t="e">
        <f>FORMAT_HAR_I!CB43</f>
        <v>#DIV/0!</v>
      </c>
      <c r="F101" s="357" t="e">
        <f>0.01*FORMAT_HAR_I!AL43*C101*1000</f>
        <v>#DIV/0!</v>
      </c>
      <c r="G101" s="349" t="e">
        <f t="shared" si="38"/>
        <v>#DIV/0!</v>
      </c>
      <c r="H101" s="231">
        <f t="shared" si="58"/>
        <v>0.223076</v>
      </c>
      <c r="I101" s="276">
        <f t="shared" si="40"/>
        <v>0.13934505571493014</v>
      </c>
      <c r="J101" s="350"/>
      <c r="K101" s="199">
        <f t="shared" si="55"/>
        <v>5.0000000000000001E-3</v>
      </c>
      <c r="L101" s="282" t="e">
        <f t="shared" si="42"/>
        <v>#DIV/0!</v>
      </c>
      <c r="M101" s="357" t="e">
        <f>0.01*FORMAT_HAR_I!BV43*C101*1000</f>
        <v>#DIV/0!</v>
      </c>
      <c r="N101" s="349" t="e">
        <f t="shared" si="43"/>
        <v>#DIV/0!</v>
      </c>
      <c r="O101" s="231">
        <f t="shared" si="59"/>
        <v>0.223076</v>
      </c>
      <c r="P101" s="276">
        <f t="shared" si="45"/>
        <v>0.13934505571493014</v>
      </c>
      <c r="Q101" s="350"/>
      <c r="R101" s="199">
        <f t="shared" si="56"/>
        <v>5.0000000000000001E-3</v>
      </c>
      <c r="S101" s="282" t="e">
        <f t="shared" si="47"/>
        <v>#DIV/0!</v>
      </c>
      <c r="T101" s="541" t="e">
        <f t="shared" si="48"/>
        <v>#DIV/0!</v>
      </c>
      <c r="U101" s="312">
        <f t="shared" si="49"/>
        <v>0.28844999999999998</v>
      </c>
      <c r="V101" s="459">
        <f t="shared" si="57"/>
        <v>7.5</v>
      </c>
      <c r="W101" s="463" t="e">
        <f t="shared" si="51"/>
        <v>#DIV/0!</v>
      </c>
      <c r="X101" s="316" t="e">
        <f t="shared" si="52"/>
        <v>#DIV/0!</v>
      </c>
      <c r="Y101" s="319" t="e">
        <f t="shared" si="53"/>
        <v>#DIV/0!</v>
      </c>
      <c r="Z101" s="316" t="e">
        <f t="shared" si="54"/>
        <v>#DIV/0!</v>
      </c>
    </row>
    <row r="102" spans="1:26" ht="12.9" customHeight="1" thickBot="1">
      <c r="A102" s="120">
        <f t="shared" si="37"/>
        <v>2000</v>
      </c>
      <c r="B102" s="51">
        <v>40</v>
      </c>
      <c r="C102" s="16">
        <f>FORMAT_HAR_I!C44</f>
        <v>4.5999999999999999E-2</v>
      </c>
      <c r="D102" s="384" t="e">
        <f>FORMAT_HAR_I!BY44</f>
        <v>#DIV/0!</v>
      </c>
      <c r="E102" s="382" t="e">
        <f>FORMAT_HAR_I!CB44</f>
        <v>#DIV/0!</v>
      </c>
      <c r="F102" s="233" t="e">
        <f>0.01*FORMAT_HAR_I!AL44*C102*1000</f>
        <v>#DIV/0!</v>
      </c>
      <c r="G102" s="212" t="e">
        <f t="shared" si="38"/>
        <v>#DIV/0!</v>
      </c>
      <c r="H102" s="212">
        <f t="shared" si="58"/>
        <v>0.21839999999999998</v>
      </c>
      <c r="I102" s="278">
        <f t="shared" si="40"/>
        <v>0.1111089021127888</v>
      </c>
      <c r="J102" s="278"/>
      <c r="K102" s="211">
        <f t="shared" si="55"/>
        <v>5.0000000000000001E-3</v>
      </c>
      <c r="L102" s="379" t="e">
        <f t="shared" si="42"/>
        <v>#DIV/0!</v>
      </c>
      <c r="M102" s="233" t="e">
        <f>0.01*FORMAT_HAR_I!BV44*C102*1000</f>
        <v>#DIV/0!</v>
      </c>
      <c r="N102" s="212" t="e">
        <f t="shared" si="43"/>
        <v>#DIV/0!</v>
      </c>
      <c r="O102" s="212">
        <f t="shared" si="59"/>
        <v>0.21839999999999998</v>
      </c>
      <c r="P102" s="278">
        <f t="shared" si="45"/>
        <v>0.1111089021127888</v>
      </c>
      <c r="Q102" s="278"/>
      <c r="R102" s="211">
        <f t="shared" si="56"/>
        <v>5.0000000000000001E-3</v>
      </c>
      <c r="S102" s="379" t="e">
        <f t="shared" si="47"/>
        <v>#DIV/0!</v>
      </c>
      <c r="T102" s="542" t="e">
        <f t="shared" si="48"/>
        <v>#DIV/0!</v>
      </c>
      <c r="U102" s="313">
        <f t="shared" si="49"/>
        <v>0.23</v>
      </c>
      <c r="V102" s="460">
        <f t="shared" si="57"/>
        <v>7.5</v>
      </c>
      <c r="W102" s="464" t="e">
        <f t="shared" si="51"/>
        <v>#DIV/0!</v>
      </c>
      <c r="X102" s="317" t="e">
        <f t="shared" si="52"/>
        <v>#DIV/0!</v>
      </c>
      <c r="Y102" s="320" t="e">
        <f t="shared" si="53"/>
        <v>#DIV/0!</v>
      </c>
      <c r="Z102" s="317" t="e">
        <f t="shared" si="54"/>
        <v>#DIV/0!</v>
      </c>
    </row>
    <row r="103" spans="1:26" ht="12.9" customHeight="1">
      <c r="A103" s="116">
        <f t="shared" si="37"/>
        <v>2050</v>
      </c>
      <c r="B103" s="50">
        <v>41</v>
      </c>
      <c r="C103" s="5">
        <f>FORMAT_HAR_I!C45</f>
        <v>2.3E-2</v>
      </c>
      <c r="D103" s="388" t="e">
        <f>FORMAT_HAR_I!BY45</f>
        <v>#DIV/0!</v>
      </c>
      <c r="E103" s="386" t="e">
        <f>FORMAT_HAR_I!CB45</f>
        <v>#DIV/0!</v>
      </c>
      <c r="F103" s="286" t="e">
        <f>0.01*FORMAT_HAR_I!AL45*C103*1000</f>
        <v>#DIV/0!</v>
      </c>
      <c r="G103" s="231" t="e">
        <f t="shared" si="38"/>
        <v>#DIV/0!</v>
      </c>
      <c r="H103" s="231">
        <f t="shared" ref="H103:H112" si="60">1000*(0.0004*C103+0.0002)</f>
        <v>0.20920000000000002</v>
      </c>
      <c r="I103" s="276">
        <f t="shared" ref="I103:I112" si="61">1000*C103*$H$116*0.01</f>
        <v>2.3035485135429107E-2</v>
      </c>
      <c r="J103" s="276"/>
      <c r="K103" s="231">
        <f t="shared" ref="K103:K112" si="62">1000*0.00001/2</f>
        <v>5.0000000000000001E-3</v>
      </c>
      <c r="L103" s="355" t="e">
        <f t="shared" ref="L103:L112" si="63">2*(G103^2+I103^2/4+J103^2/3+K103^2/3)^0.5</f>
        <v>#DIV/0!</v>
      </c>
      <c r="M103" s="286" t="e">
        <f>0.01*FORMAT_HAR_I!BV45*C103*1000</f>
        <v>#DIV/0!</v>
      </c>
      <c r="N103" s="231" t="e">
        <f t="shared" si="43"/>
        <v>#DIV/0!</v>
      </c>
      <c r="O103" s="231">
        <f t="shared" ref="O103:O112" si="64">1000*(0.0004*C103+0.0002)</f>
        <v>0.20920000000000002</v>
      </c>
      <c r="P103" s="276">
        <f t="shared" ref="P103:P112" si="65">1000*C103*$O$116*0.01</f>
        <v>2.3035485135429107E-2</v>
      </c>
      <c r="Q103" s="276"/>
      <c r="R103" s="199">
        <f t="shared" ref="R103:R112" si="66">1000*0.00001/2</f>
        <v>5.0000000000000001E-3</v>
      </c>
      <c r="S103" s="355" t="e">
        <f t="shared" ref="S103:S112" si="67">2*(N103^2+P103^2/4+Q103^2/3+R103^2/3)^0.5</f>
        <v>#DIV/0!</v>
      </c>
      <c r="T103" s="530" t="e">
        <f t="shared" si="48"/>
        <v>#DIV/0!</v>
      </c>
      <c r="U103" s="370">
        <f t="shared" si="49"/>
        <v>0.115</v>
      </c>
      <c r="V103" s="461">
        <f>0.0015*5*1000</f>
        <v>7.5</v>
      </c>
      <c r="W103" s="465" t="e">
        <f t="shared" si="51"/>
        <v>#DIV/0!</v>
      </c>
      <c r="X103" s="362" t="e">
        <f t="shared" si="52"/>
        <v>#DIV/0!</v>
      </c>
      <c r="Y103" s="456" t="e">
        <f t="shared" si="53"/>
        <v>#DIV/0!</v>
      </c>
      <c r="Z103" s="362" t="e">
        <f t="shared" si="54"/>
        <v>#DIV/0!</v>
      </c>
    </row>
    <row r="104" spans="1:26" ht="12.9" customHeight="1">
      <c r="A104" s="116">
        <f t="shared" si="37"/>
        <v>2100</v>
      </c>
      <c r="B104" s="50">
        <v>42</v>
      </c>
      <c r="C104" s="5">
        <f>FORMAT_HAR_I!C46</f>
        <v>2.3E-2</v>
      </c>
      <c r="D104" s="388" t="e">
        <f>FORMAT_HAR_I!BY46</f>
        <v>#DIV/0!</v>
      </c>
      <c r="E104" s="386" t="e">
        <f>FORMAT_HAR_I!CB46</f>
        <v>#DIV/0!</v>
      </c>
      <c r="F104" s="286" t="e">
        <f>0.01*FORMAT_HAR_I!AL46*C104*1000</f>
        <v>#DIV/0!</v>
      </c>
      <c r="G104" s="231" t="e">
        <f t="shared" si="38"/>
        <v>#DIV/0!</v>
      </c>
      <c r="H104" s="231">
        <f t="shared" si="60"/>
        <v>0.20920000000000002</v>
      </c>
      <c r="I104" s="276">
        <f t="shared" si="61"/>
        <v>2.3035485135429107E-2</v>
      </c>
      <c r="J104" s="276"/>
      <c r="K104" s="199">
        <f t="shared" si="62"/>
        <v>5.0000000000000001E-3</v>
      </c>
      <c r="L104" s="355" t="e">
        <f t="shared" si="63"/>
        <v>#DIV/0!</v>
      </c>
      <c r="M104" s="286" t="e">
        <f>0.01*FORMAT_HAR_I!BV46*C104*1000</f>
        <v>#DIV/0!</v>
      </c>
      <c r="N104" s="231" t="e">
        <f t="shared" si="43"/>
        <v>#DIV/0!</v>
      </c>
      <c r="O104" s="231">
        <f t="shared" si="64"/>
        <v>0.20920000000000002</v>
      </c>
      <c r="P104" s="276">
        <f t="shared" si="65"/>
        <v>2.3035485135429107E-2</v>
      </c>
      <c r="Q104" s="276"/>
      <c r="R104" s="199">
        <f t="shared" si="66"/>
        <v>5.0000000000000001E-3</v>
      </c>
      <c r="S104" s="355" t="e">
        <f t="shared" si="67"/>
        <v>#DIV/0!</v>
      </c>
      <c r="T104" s="541" t="e">
        <f t="shared" si="48"/>
        <v>#DIV/0!</v>
      </c>
      <c r="U104" s="312">
        <f t="shared" si="49"/>
        <v>0.115</v>
      </c>
      <c r="V104" s="461">
        <f t="shared" ref="V104:V112" si="68">0.0015*5*1000</f>
        <v>7.5</v>
      </c>
      <c r="W104" s="463" t="e">
        <f t="shared" si="51"/>
        <v>#DIV/0!</v>
      </c>
      <c r="X104" s="316" t="e">
        <f t="shared" si="52"/>
        <v>#DIV/0!</v>
      </c>
      <c r="Y104" s="319" t="e">
        <f t="shared" si="53"/>
        <v>#DIV/0!</v>
      </c>
      <c r="Z104" s="316" t="e">
        <f t="shared" si="54"/>
        <v>#DIV/0!</v>
      </c>
    </row>
    <row r="105" spans="1:26" ht="12.9" customHeight="1">
      <c r="A105" s="116">
        <f t="shared" si="37"/>
        <v>2150</v>
      </c>
      <c r="B105" s="50">
        <v>43</v>
      </c>
      <c r="C105" s="5">
        <f>FORMAT_HAR_I!C47</f>
        <v>2.3E-2</v>
      </c>
      <c r="D105" s="388" t="e">
        <f>FORMAT_HAR_I!BY47</f>
        <v>#DIV/0!</v>
      </c>
      <c r="E105" s="386" t="e">
        <f>FORMAT_HAR_I!CB47</f>
        <v>#DIV/0!</v>
      </c>
      <c r="F105" s="286" t="e">
        <f>0.01*FORMAT_HAR_I!AL47*C105*1000</f>
        <v>#DIV/0!</v>
      </c>
      <c r="G105" s="231" t="e">
        <f t="shared" si="38"/>
        <v>#DIV/0!</v>
      </c>
      <c r="H105" s="231">
        <f t="shared" si="60"/>
        <v>0.20920000000000002</v>
      </c>
      <c r="I105" s="276">
        <f t="shared" si="61"/>
        <v>2.3035485135429107E-2</v>
      </c>
      <c r="J105" s="276"/>
      <c r="K105" s="199">
        <f t="shared" si="62"/>
        <v>5.0000000000000001E-3</v>
      </c>
      <c r="L105" s="355" t="e">
        <f t="shared" si="63"/>
        <v>#DIV/0!</v>
      </c>
      <c r="M105" s="286" t="e">
        <f>0.01*FORMAT_HAR_I!BV47*C105*1000</f>
        <v>#DIV/0!</v>
      </c>
      <c r="N105" s="231" t="e">
        <f t="shared" si="43"/>
        <v>#DIV/0!</v>
      </c>
      <c r="O105" s="231">
        <f t="shared" si="64"/>
        <v>0.20920000000000002</v>
      </c>
      <c r="P105" s="276">
        <f t="shared" si="65"/>
        <v>2.3035485135429107E-2</v>
      </c>
      <c r="Q105" s="276"/>
      <c r="R105" s="199">
        <f t="shared" si="66"/>
        <v>5.0000000000000001E-3</v>
      </c>
      <c r="S105" s="355" t="e">
        <f t="shared" si="67"/>
        <v>#DIV/0!</v>
      </c>
      <c r="T105" s="541" t="e">
        <f t="shared" si="48"/>
        <v>#DIV/0!</v>
      </c>
      <c r="U105" s="312">
        <f t="shared" si="49"/>
        <v>0.115</v>
      </c>
      <c r="V105" s="461">
        <f t="shared" si="68"/>
        <v>7.5</v>
      </c>
      <c r="W105" s="463" t="e">
        <f t="shared" si="51"/>
        <v>#DIV/0!</v>
      </c>
      <c r="X105" s="316" t="e">
        <f t="shared" si="52"/>
        <v>#DIV/0!</v>
      </c>
      <c r="Y105" s="319" t="e">
        <f t="shared" si="53"/>
        <v>#DIV/0!</v>
      </c>
      <c r="Z105" s="316" t="e">
        <f t="shared" si="54"/>
        <v>#DIV/0!</v>
      </c>
    </row>
    <row r="106" spans="1:26" ht="12.9" customHeight="1">
      <c r="A106" s="116">
        <f t="shared" si="37"/>
        <v>2200</v>
      </c>
      <c r="B106" s="50">
        <v>44</v>
      </c>
      <c r="C106" s="5">
        <f>FORMAT_HAR_I!C48</f>
        <v>2.3E-2</v>
      </c>
      <c r="D106" s="388" t="e">
        <f>FORMAT_HAR_I!BY48</f>
        <v>#DIV/0!</v>
      </c>
      <c r="E106" s="386" t="e">
        <f>FORMAT_HAR_I!CB48</f>
        <v>#DIV/0!</v>
      </c>
      <c r="F106" s="286" t="e">
        <f>0.01*FORMAT_HAR_I!AL48*C106*1000</f>
        <v>#DIV/0!</v>
      </c>
      <c r="G106" s="231" t="e">
        <f t="shared" si="38"/>
        <v>#DIV/0!</v>
      </c>
      <c r="H106" s="231">
        <f t="shared" si="60"/>
        <v>0.20920000000000002</v>
      </c>
      <c r="I106" s="276">
        <f t="shared" si="61"/>
        <v>2.3035485135429107E-2</v>
      </c>
      <c r="J106" s="276"/>
      <c r="K106" s="199">
        <f t="shared" si="62"/>
        <v>5.0000000000000001E-3</v>
      </c>
      <c r="L106" s="355" t="e">
        <f t="shared" si="63"/>
        <v>#DIV/0!</v>
      </c>
      <c r="M106" s="286" t="e">
        <f>0.01*FORMAT_HAR_I!BV48*C106*1000</f>
        <v>#DIV/0!</v>
      </c>
      <c r="N106" s="231" t="e">
        <f t="shared" si="43"/>
        <v>#DIV/0!</v>
      </c>
      <c r="O106" s="231">
        <f t="shared" si="64"/>
        <v>0.20920000000000002</v>
      </c>
      <c r="P106" s="276">
        <f t="shared" si="65"/>
        <v>2.3035485135429107E-2</v>
      </c>
      <c r="Q106" s="276"/>
      <c r="R106" s="199">
        <f t="shared" si="66"/>
        <v>5.0000000000000001E-3</v>
      </c>
      <c r="S106" s="355" t="e">
        <f t="shared" si="67"/>
        <v>#DIV/0!</v>
      </c>
      <c r="T106" s="541" t="e">
        <f t="shared" si="48"/>
        <v>#DIV/0!</v>
      </c>
      <c r="U106" s="312">
        <f t="shared" si="49"/>
        <v>0.115</v>
      </c>
      <c r="V106" s="461">
        <f t="shared" si="68"/>
        <v>7.5</v>
      </c>
      <c r="W106" s="463" t="e">
        <f t="shared" si="51"/>
        <v>#DIV/0!</v>
      </c>
      <c r="X106" s="316" t="e">
        <f t="shared" si="52"/>
        <v>#DIV/0!</v>
      </c>
      <c r="Y106" s="319" t="e">
        <f t="shared" si="53"/>
        <v>#DIV/0!</v>
      </c>
      <c r="Z106" s="316" t="e">
        <f t="shared" si="54"/>
        <v>#DIV/0!</v>
      </c>
    </row>
    <row r="107" spans="1:26" ht="12.9" customHeight="1">
      <c r="A107" s="116">
        <f t="shared" si="37"/>
        <v>2250</v>
      </c>
      <c r="B107" s="50">
        <v>45</v>
      </c>
      <c r="C107" s="5">
        <f>FORMAT_HAR_I!C49</f>
        <v>2.3E-2</v>
      </c>
      <c r="D107" s="388" t="e">
        <f>FORMAT_HAR_I!BY49</f>
        <v>#DIV/0!</v>
      </c>
      <c r="E107" s="386" t="e">
        <f>FORMAT_HAR_I!CB49</f>
        <v>#DIV/0!</v>
      </c>
      <c r="F107" s="286" t="e">
        <f>0.01*FORMAT_HAR_I!AL49*C107*1000</f>
        <v>#DIV/0!</v>
      </c>
      <c r="G107" s="231" t="e">
        <f t="shared" si="38"/>
        <v>#DIV/0!</v>
      </c>
      <c r="H107" s="231">
        <f t="shared" si="60"/>
        <v>0.20920000000000002</v>
      </c>
      <c r="I107" s="276">
        <f t="shared" si="61"/>
        <v>2.3035485135429107E-2</v>
      </c>
      <c r="J107" s="276"/>
      <c r="K107" s="199">
        <f t="shared" si="62"/>
        <v>5.0000000000000001E-3</v>
      </c>
      <c r="L107" s="355" t="e">
        <f t="shared" si="63"/>
        <v>#DIV/0!</v>
      </c>
      <c r="M107" s="286" t="e">
        <f>0.01*FORMAT_HAR_I!BV49*C107*1000</f>
        <v>#DIV/0!</v>
      </c>
      <c r="N107" s="231" t="e">
        <f t="shared" si="43"/>
        <v>#DIV/0!</v>
      </c>
      <c r="O107" s="231">
        <f t="shared" si="64"/>
        <v>0.20920000000000002</v>
      </c>
      <c r="P107" s="276">
        <f t="shared" si="65"/>
        <v>2.3035485135429107E-2</v>
      </c>
      <c r="Q107" s="276"/>
      <c r="R107" s="199">
        <f t="shared" si="66"/>
        <v>5.0000000000000001E-3</v>
      </c>
      <c r="S107" s="355" t="e">
        <f t="shared" si="67"/>
        <v>#DIV/0!</v>
      </c>
      <c r="T107" s="541" t="e">
        <f t="shared" si="48"/>
        <v>#DIV/0!</v>
      </c>
      <c r="U107" s="312">
        <f t="shared" si="49"/>
        <v>0.115</v>
      </c>
      <c r="V107" s="461">
        <f t="shared" si="68"/>
        <v>7.5</v>
      </c>
      <c r="W107" s="463" t="e">
        <f t="shared" si="51"/>
        <v>#DIV/0!</v>
      </c>
      <c r="X107" s="316" t="e">
        <f t="shared" si="52"/>
        <v>#DIV/0!</v>
      </c>
      <c r="Y107" s="319" t="e">
        <f t="shared" si="53"/>
        <v>#DIV/0!</v>
      </c>
      <c r="Z107" s="316" t="e">
        <f t="shared" si="54"/>
        <v>#DIV/0!</v>
      </c>
    </row>
    <row r="108" spans="1:26" ht="12.9" customHeight="1">
      <c r="A108" s="116">
        <f t="shared" si="37"/>
        <v>2300</v>
      </c>
      <c r="B108" s="50">
        <v>46</v>
      </c>
      <c r="C108" s="5">
        <f>FORMAT_HAR_I!C50</f>
        <v>2.3E-2</v>
      </c>
      <c r="D108" s="388" t="e">
        <f>FORMAT_HAR_I!BY50</f>
        <v>#DIV/0!</v>
      </c>
      <c r="E108" s="386" t="e">
        <f>FORMAT_HAR_I!CB50</f>
        <v>#DIV/0!</v>
      </c>
      <c r="F108" s="286" t="e">
        <f>0.01*FORMAT_HAR_I!AL50*C108*1000</f>
        <v>#DIV/0!</v>
      </c>
      <c r="G108" s="231" t="e">
        <f t="shared" si="38"/>
        <v>#DIV/0!</v>
      </c>
      <c r="H108" s="231">
        <f t="shared" si="60"/>
        <v>0.20920000000000002</v>
      </c>
      <c r="I108" s="276">
        <f t="shared" si="61"/>
        <v>2.3035485135429107E-2</v>
      </c>
      <c r="J108" s="276"/>
      <c r="K108" s="199">
        <f t="shared" si="62"/>
        <v>5.0000000000000001E-3</v>
      </c>
      <c r="L108" s="355" t="e">
        <f t="shared" si="63"/>
        <v>#DIV/0!</v>
      </c>
      <c r="M108" s="286" t="e">
        <f>0.01*FORMAT_HAR_I!BV50*C108*1000</f>
        <v>#DIV/0!</v>
      </c>
      <c r="N108" s="231" t="e">
        <f t="shared" si="43"/>
        <v>#DIV/0!</v>
      </c>
      <c r="O108" s="231">
        <f t="shared" si="64"/>
        <v>0.20920000000000002</v>
      </c>
      <c r="P108" s="276">
        <f t="shared" si="65"/>
        <v>2.3035485135429107E-2</v>
      </c>
      <c r="Q108" s="276"/>
      <c r="R108" s="199">
        <f t="shared" si="66"/>
        <v>5.0000000000000001E-3</v>
      </c>
      <c r="S108" s="355" t="e">
        <f t="shared" si="67"/>
        <v>#DIV/0!</v>
      </c>
      <c r="T108" s="541" t="e">
        <f t="shared" si="48"/>
        <v>#DIV/0!</v>
      </c>
      <c r="U108" s="312">
        <f t="shared" si="49"/>
        <v>0.115</v>
      </c>
      <c r="V108" s="461">
        <f t="shared" si="68"/>
        <v>7.5</v>
      </c>
      <c r="W108" s="463" t="e">
        <f t="shared" si="51"/>
        <v>#DIV/0!</v>
      </c>
      <c r="X108" s="316" t="e">
        <f t="shared" si="52"/>
        <v>#DIV/0!</v>
      </c>
      <c r="Y108" s="319" t="e">
        <f t="shared" si="53"/>
        <v>#DIV/0!</v>
      </c>
      <c r="Z108" s="316" t="e">
        <f t="shared" si="54"/>
        <v>#DIV/0!</v>
      </c>
    </row>
    <row r="109" spans="1:26" ht="12.9" customHeight="1">
      <c r="A109" s="116">
        <f t="shared" si="37"/>
        <v>2350</v>
      </c>
      <c r="B109" s="50">
        <v>47</v>
      </c>
      <c r="C109" s="5">
        <f>FORMAT_HAR_I!C51</f>
        <v>2.3E-2</v>
      </c>
      <c r="D109" s="388" t="e">
        <f>FORMAT_HAR_I!BY51</f>
        <v>#DIV/0!</v>
      </c>
      <c r="E109" s="386" t="e">
        <f>FORMAT_HAR_I!CB51</f>
        <v>#DIV/0!</v>
      </c>
      <c r="F109" s="286" t="e">
        <f>0.01*FORMAT_HAR_I!AL51*C109*1000</f>
        <v>#DIV/0!</v>
      </c>
      <c r="G109" s="231" t="e">
        <f t="shared" si="38"/>
        <v>#DIV/0!</v>
      </c>
      <c r="H109" s="231">
        <f t="shared" si="60"/>
        <v>0.20920000000000002</v>
      </c>
      <c r="I109" s="276">
        <f t="shared" si="61"/>
        <v>2.3035485135429107E-2</v>
      </c>
      <c r="J109" s="276"/>
      <c r="K109" s="199">
        <f t="shared" si="62"/>
        <v>5.0000000000000001E-3</v>
      </c>
      <c r="L109" s="355" t="e">
        <f t="shared" si="63"/>
        <v>#DIV/0!</v>
      </c>
      <c r="M109" s="286" t="e">
        <f>0.01*FORMAT_HAR_I!BV51*C109*1000</f>
        <v>#DIV/0!</v>
      </c>
      <c r="N109" s="231" t="e">
        <f t="shared" si="43"/>
        <v>#DIV/0!</v>
      </c>
      <c r="O109" s="231">
        <f t="shared" si="64"/>
        <v>0.20920000000000002</v>
      </c>
      <c r="P109" s="276">
        <f t="shared" si="65"/>
        <v>2.3035485135429107E-2</v>
      </c>
      <c r="Q109" s="276"/>
      <c r="R109" s="199">
        <f t="shared" si="66"/>
        <v>5.0000000000000001E-3</v>
      </c>
      <c r="S109" s="355" t="e">
        <f t="shared" si="67"/>
        <v>#DIV/0!</v>
      </c>
      <c r="T109" s="541" t="e">
        <f t="shared" si="48"/>
        <v>#DIV/0!</v>
      </c>
      <c r="U109" s="312">
        <f t="shared" si="49"/>
        <v>0.115</v>
      </c>
      <c r="V109" s="461">
        <f t="shared" si="68"/>
        <v>7.5</v>
      </c>
      <c r="W109" s="463" t="e">
        <f t="shared" si="51"/>
        <v>#DIV/0!</v>
      </c>
      <c r="X109" s="316" t="e">
        <f t="shared" si="52"/>
        <v>#DIV/0!</v>
      </c>
      <c r="Y109" s="319" t="e">
        <f t="shared" si="53"/>
        <v>#DIV/0!</v>
      </c>
      <c r="Z109" s="316" t="e">
        <f t="shared" si="54"/>
        <v>#DIV/0!</v>
      </c>
    </row>
    <row r="110" spans="1:26" ht="12.9" customHeight="1">
      <c r="A110" s="116">
        <f t="shared" si="37"/>
        <v>2400</v>
      </c>
      <c r="B110" s="50">
        <v>48</v>
      </c>
      <c r="C110" s="5">
        <f>FORMAT_HAR_I!C52</f>
        <v>2.3E-2</v>
      </c>
      <c r="D110" s="388" t="e">
        <f>FORMAT_HAR_I!BY52</f>
        <v>#DIV/0!</v>
      </c>
      <c r="E110" s="386" t="e">
        <f>FORMAT_HAR_I!CB52</f>
        <v>#DIV/0!</v>
      </c>
      <c r="F110" s="286" t="e">
        <f>0.01*FORMAT_HAR_I!AL52*C110*1000</f>
        <v>#DIV/0!</v>
      </c>
      <c r="G110" s="231" t="e">
        <f t="shared" si="38"/>
        <v>#DIV/0!</v>
      </c>
      <c r="H110" s="231">
        <f t="shared" si="60"/>
        <v>0.20920000000000002</v>
      </c>
      <c r="I110" s="276">
        <f t="shared" si="61"/>
        <v>2.3035485135429107E-2</v>
      </c>
      <c r="J110" s="276"/>
      <c r="K110" s="199">
        <f t="shared" si="62"/>
        <v>5.0000000000000001E-3</v>
      </c>
      <c r="L110" s="355" t="e">
        <f t="shared" si="63"/>
        <v>#DIV/0!</v>
      </c>
      <c r="M110" s="286" t="e">
        <f>0.01*FORMAT_HAR_I!BV52*C110*1000</f>
        <v>#DIV/0!</v>
      </c>
      <c r="N110" s="231" t="e">
        <f t="shared" si="43"/>
        <v>#DIV/0!</v>
      </c>
      <c r="O110" s="231">
        <f t="shared" si="64"/>
        <v>0.20920000000000002</v>
      </c>
      <c r="P110" s="276">
        <f t="shared" si="65"/>
        <v>2.3035485135429107E-2</v>
      </c>
      <c r="Q110" s="276"/>
      <c r="R110" s="199">
        <f t="shared" si="66"/>
        <v>5.0000000000000001E-3</v>
      </c>
      <c r="S110" s="355" t="e">
        <f t="shared" si="67"/>
        <v>#DIV/0!</v>
      </c>
      <c r="T110" s="541" t="e">
        <f t="shared" si="48"/>
        <v>#DIV/0!</v>
      </c>
      <c r="U110" s="312">
        <f t="shared" si="49"/>
        <v>0.115</v>
      </c>
      <c r="V110" s="461">
        <f t="shared" si="68"/>
        <v>7.5</v>
      </c>
      <c r="W110" s="463" t="e">
        <f t="shared" si="51"/>
        <v>#DIV/0!</v>
      </c>
      <c r="X110" s="316" t="e">
        <f t="shared" si="52"/>
        <v>#DIV/0!</v>
      </c>
      <c r="Y110" s="319" t="e">
        <f t="shared" si="53"/>
        <v>#DIV/0!</v>
      </c>
      <c r="Z110" s="316" t="e">
        <f t="shared" si="54"/>
        <v>#DIV/0!</v>
      </c>
    </row>
    <row r="111" spans="1:26" ht="12.9" customHeight="1">
      <c r="A111" s="116">
        <f t="shared" si="37"/>
        <v>2450</v>
      </c>
      <c r="B111" s="50">
        <v>49</v>
      </c>
      <c r="C111" s="5">
        <f>FORMAT_HAR_I!C53</f>
        <v>2.3E-2</v>
      </c>
      <c r="D111" s="388" t="e">
        <f>FORMAT_HAR_I!BY53</f>
        <v>#DIV/0!</v>
      </c>
      <c r="E111" s="386" t="e">
        <f>FORMAT_HAR_I!CB53</f>
        <v>#DIV/0!</v>
      </c>
      <c r="F111" s="286" t="e">
        <f>0.01*FORMAT_HAR_I!AL53*C111*1000</f>
        <v>#DIV/0!</v>
      </c>
      <c r="G111" s="231" t="e">
        <f t="shared" si="38"/>
        <v>#DIV/0!</v>
      </c>
      <c r="H111" s="231">
        <f t="shared" si="60"/>
        <v>0.20920000000000002</v>
      </c>
      <c r="I111" s="276">
        <f t="shared" si="61"/>
        <v>2.3035485135429107E-2</v>
      </c>
      <c r="J111" s="276"/>
      <c r="K111" s="199">
        <f t="shared" si="62"/>
        <v>5.0000000000000001E-3</v>
      </c>
      <c r="L111" s="355" t="e">
        <f t="shared" si="63"/>
        <v>#DIV/0!</v>
      </c>
      <c r="M111" s="286" t="e">
        <f>0.01*FORMAT_HAR_I!BV53*C111*1000</f>
        <v>#DIV/0!</v>
      </c>
      <c r="N111" s="231" t="e">
        <f t="shared" si="43"/>
        <v>#DIV/0!</v>
      </c>
      <c r="O111" s="231">
        <f t="shared" si="64"/>
        <v>0.20920000000000002</v>
      </c>
      <c r="P111" s="276">
        <f t="shared" si="65"/>
        <v>2.3035485135429107E-2</v>
      </c>
      <c r="Q111" s="276"/>
      <c r="R111" s="199">
        <f t="shared" si="66"/>
        <v>5.0000000000000001E-3</v>
      </c>
      <c r="S111" s="355" t="e">
        <f t="shared" si="67"/>
        <v>#DIV/0!</v>
      </c>
      <c r="T111" s="541" t="e">
        <f t="shared" si="48"/>
        <v>#DIV/0!</v>
      </c>
      <c r="U111" s="312">
        <f t="shared" si="49"/>
        <v>0.115</v>
      </c>
      <c r="V111" s="461">
        <f t="shared" si="68"/>
        <v>7.5</v>
      </c>
      <c r="W111" s="463" t="e">
        <f t="shared" si="51"/>
        <v>#DIV/0!</v>
      </c>
      <c r="X111" s="316" t="e">
        <f t="shared" si="52"/>
        <v>#DIV/0!</v>
      </c>
      <c r="Y111" s="319" t="e">
        <f t="shared" si="53"/>
        <v>#DIV/0!</v>
      </c>
      <c r="Z111" s="316" t="e">
        <f t="shared" si="54"/>
        <v>#DIV/0!</v>
      </c>
    </row>
    <row r="112" spans="1:26" ht="12.9" customHeight="1" thickBot="1">
      <c r="A112" s="371">
        <f t="shared" si="37"/>
        <v>2500</v>
      </c>
      <c r="B112" s="51">
        <v>50</v>
      </c>
      <c r="C112" s="373">
        <f>FORMAT_HAR_I!C54</f>
        <v>2.3E-2</v>
      </c>
      <c r="D112" s="389" t="e">
        <f>FORMAT_HAR_I!BY54</f>
        <v>#DIV/0!</v>
      </c>
      <c r="E112" s="387" t="e">
        <f>FORMAT_HAR_I!CB54</f>
        <v>#DIV/0!</v>
      </c>
      <c r="F112" s="283" t="e">
        <f>0.01*FORMAT_HAR_I!AL54*C112*1000</f>
        <v>#DIV/0!</v>
      </c>
      <c r="G112" s="212" t="e">
        <f t="shared" si="38"/>
        <v>#DIV/0!</v>
      </c>
      <c r="H112" s="212">
        <f t="shared" si="60"/>
        <v>0.20920000000000002</v>
      </c>
      <c r="I112" s="359">
        <f t="shared" si="61"/>
        <v>2.3035485135429107E-2</v>
      </c>
      <c r="J112" s="359"/>
      <c r="K112" s="309">
        <f t="shared" si="62"/>
        <v>5.0000000000000001E-3</v>
      </c>
      <c r="L112" s="356" t="e">
        <f t="shared" si="63"/>
        <v>#DIV/0!</v>
      </c>
      <c r="M112" s="283" t="e">
        <f>0.01*FORMAT_HAR_I!BV54*C112*1000</f>
        <v>#DIV/0!</v>
      </c>
      <c r="N112" s="212" t="e">
        <f t="shared" si="43"/>
        <v>#DIV/0!</v>
      </c>
      <c r="O112" s="212">
        <f t="shared" si="64"/>
        <v>0.20920000000000002</v>
      </c>
      <c r="P112" s="278">
        <f t="shared" si="65"/>
        <v>2.3035485135429107E-2</v>
      </c>
      <c r="Q112" s="359"/>
      <c r="R112" s="309">
        <f t="shared" si="66"/>
        <v>5.0000000000000001E-3</v>
      </c>
      <c r="S112" s="356" t="e">
        <f t="shared" si="67"/>
        <v>#DIV/0!</v>
      </c>
      <c r="T112" s="542" t="e">
        <f t="shared" si="48"/>
        <v>#DIV/0!</v>
      </c>
      <c r="U112" s="368">
        <f t="shared" si="49"/>
        <v>0.115</v>
      </c>
      <c r="V112" s="462">
        <f t="shared" si="68"/>
        <v>7.5</v>
      </c>
      <c r="W112" s="466" t="e">
        <f t="shared" si="51"/>
        <v>#DIV/0!</v>
      </c>
      <c r="X112" s="369" t="e">
        <f t="shared" si="52"/>
        <v>#DIV/0!</v>
      </c>
      <c r="Y112" s="457" t="e">
        <f t="shared" si="53"/>
        <v>#DIV/0!</v>
      </c>
      <c r="Z112" s="369" t="e">
        <f t="shared" si="54"/>
        <v>#DIV/0!</v>
      </c>
    </row>
    <row r="113" spans="1:26" ht="12.9" customHeight="1">
      <c r="C113" s="277">
        <f>(C63^2+C64^2+C65^2+C66^2+C67^2+C68^2+C69^2+C70^2+C71^2+C72^2+C73^2+C74^2+C75^2+C76^2+C77^2+C78^2+C79^2+C80^2+C81^2+C82^2+C83^2+C84^2+C85^2+C86^2+C87^2+C88^2+C89^2+C90^2+C91^2+C92^2+C93^2+C94^2+C95^2+C96^2+C97^2+C98^2+C99^2+C100^2+C101^2+C102^2)^0.5</f>
        <v>3.8135254672022318</v>
      </c>
      <c r="F113" s="206" t="s">
        <v>122</v>
      </c>
      <c r="G113" s="279" t="s">
        <v>91</v>
      </c>
      <c r="H113" s="280">
        <f>SUM(H63:H102)</f>
        <v>9.2112310399999977</v>
      </c>
      <c r="N113" s="279" t="s">
        <v>91</v>
      </c>
      <c r="O113" s="280">
        <f>SUM(O63:O102)</f>
        <v>9.2112310399999977</v>
      </c>
    </row>
    <row r="114" spans="1:26" ht="12.9" customHeight="1">
      <c r="G114" s="208" t="s">
        <v>51</v>
      </c>
      <c r="H114" s="230">
        <f>0.1*H113/$C$113</f>
        <v>0.24154109154954087</v>
      </c>
      <c r="N114" s="208" t="s">
        <v>51</v>
      </c>
      <c r="O114" s="230">
        <f>0.1*O113/$C$113</f>
        <v>0.24154109154954087</v>
      </c>
    </row>
    <row r="115" spans="1:26" ht="12.9" customHeight="1">
      <c r="C115" s="277">
        <f>(C63^2+C103^2+C104^2+C105^2+C106^2+C107^2+C108^2+C109^2+C110^2+C111^2+C112^2)^0.5</f>
        <v>2.3011497126436606</v>
      </c>
      <c r="F115" s="206" t="s">
        <v>123</v>
      </c>
      <c r="G115" s="279" t="s">
        <v>91</v>
      </c>
      <c r="H115" s="280">
        <f>SUM(H103:H112)+H63</f>
        <v>2.3047</v>
      </c>
      <c r="N115" s="279" t="s">
        <v>91</v>
      </c>
      <c r="O115" s="280">
        <f>SUM(O103:O112)+O63</f>
        <v>2.3047</v>
      </c>
    </row>
    <row r="116" spans="1:26" ht="12.9" customHeight="1">
      <c r="G116" s="208" t="s">
        <v>51</v>
      </c>
      <c r="H116" s="230">
        <f>0.1*H115/$C$115</f>
        <v>0.10015428319751785</v>
      </c>
      <c r="N116" s="208" t="s">
        <v>51</v>
      </c>
      <c r="O116" s="230">
        <f>0.1*O115/$C$115</f>
        <v>0.10015428319751785</v>
      </c>
    </row>
    <row r="117" spans="1:26" ht="12" thickBot="1"/>
    <row r="118" spans="1:26" s="77" customFormat="1" ht="15.75" customHeight="1" thickBot="1">
      <c r="B118" s="638" t="s">
        <v>57</v>
      </c>
      <c r="C118" s="639"/>
      <c r="D118" s="639"/>
      <c r="E118" s="640"/>
      <c r="F118" s="641" t="s">
        <v>58</v>
      </c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3"/>
    </row>
    <row r="119" spans="1:26" ht="17.25" customHeight="1" thickBot="1">
      <c r="B119" s="644" t="s">
        <v>69</v>
      </c>
      <c r="C119" s="645"/>
      <c r="D119" s="633" t="s">
        <v>77</v>
      </c>
      <c r="E119" s="634"/>
      <c r="F119" s="646" t="s">
        <v>47</v>
      </c>
      <c r="G119" s="647"/>
      <c r="H119" s="647"/>
      <c r="I119" s="647"/>
      <c r="J119" s="647"/>
      <c r="K119" s="647"/>
      <c r="L119" s="648"/>
      <c r="M119" s="646" t="s">
        <v>48</v>
      </c>
      <c r="N119" s="647"/>
      <c r="O119" s="647"/>
      <c r="P119" s="647"/>
      <c r="Q119" s="647"/>
      <c r="R119" s="647"/>
      <c r="S119" s="648"/>
      <c r="U119" s="614" t="s">
        <v>109</v>
      </c>
      <c r="V119" s="615"/>
      <c r="W119" s="612" t="s">
        <v>107</v>
      </c>
      <c r="X119" s="613"/>
      <c r="Y119" s="614" t="s">
        <v>108</v>
      </c>
      <c r="Z119" s="615"/>
    </row>
    <row r="120" spans="1:26" ht="24.6" thickBot="1">
      <c r="A120" s="223" t="s">
        <v>70</v>
      </c>
      <c r="B120" s="224" t="s">
        <v>10</v>
      </c>
      <c r="C120" s="225" t="s">
        <v>85</v>
      </c>
      <c r="D120" s="225" t="s">
        <v>75</v>
      </c>
      <c r="E120" s="226" t="s">
        <v>76</v>
      </c>
      <c r="F120" s="218" t="s">
        <v>92</v>
      </c>
      <c r="G120" s="219" t="s">
        <v>93</v>
      </c>
      <c r="H120" s="219" t="s">
        <v>91</v>
      </c>
      <c r="I120" s="291" t="s">
        <v>91</v>
      </c>
      <c r="J120" s="219" t="s">
        <v>94</v>
      </c>
      <c r="K120" s="219" t="s">
        <v>95</v>
      </c>
      <c r="L120" s="220" t="s">
        <v>86</v>
      </c>
      <c r="M120" s="218" t="s">
        <v>92</v>
      </c>
      <c r="N120" s="219" t="s">
        <v>93</v>
      </c>
      <c r="O120" s="219" t="s">
        <v>91</v>
      </c>
      <c r="P120" s="291" t="s">
        <v>91</v>
      </c>
      <c r="Q120" s="219" t="s">
        <v>94</v>
      </c>
      <c r="R120" s="219" t="s">
        <v>95</v>
      </c>
      <c r="S120" s="220" t="s">
        <v>86</v>
      </c>
      <c r="T120" s="540" t="s">
        <v>86</v>
      </c>
      <c r="U120" s="314" t="s">
        <v>104</v>
      </c>
      <c r="V120" s="315" t="s">
        <v>105</v>
      </c>
      <c r="W120" s="318" t="s">
        <v>47</v>
      </c>
      <c r="X120" s="455" t="s">
        <v>48</v>
      </c>
      <c r="Y120" s="314" t="s">
        <v>47</v>
      </c>
      <c r="Z120" s="315" t="s">
        <v>48</v>
      </c>
    </row>
    <row r="121" spans="1:26" ht="12.9" customHeight="1">
      <c r="A121" s="354">
        <f>50*B121</f>
        <v>50</v>
      </c>
      <c r="B121" s="352">
        <v>1</v>
      </c>
      <c r="C121" s="11">
        <f>FORMAT_HAR_I!C5</f>
        <v>2.2999999999999998</v>
      </c>
      <c r="D121" s="383" t="e">
        <f>FORMAT_HAR_I!BZ5</f>
        <v>#DIV/0!</v>
      </c>
      <c r="E121" s="380" t="e">
        <f>FORMAT_HAR_I!CC5</f>
        <v>#DIV/0!</v>
      </c>
      <c r="F121" s="293" t="e">
        <f>0.01*FORMAT_HAR_I!AM5*C121*1000</f>
        <v>#DIV/0!</v>
      </c>
      <c r="G121" s="294" t="e">
        <f>F121/10^0.5</f>
        <v>#DIV/0!</v>
      </c>
      <c r="H121" s="294">
        <f>1000*(0.000049*C121+0.0001)</f>
        <v>0.2127</v>
      </c>
      <c r="I121" s="276">
        <f>1000*C121*$H$172*0.01</f>
        <v>5.5554451056394401</v>
      </c>
      <c r="J121" s="296"/>
      <c r="K121" s="294">
        <f>1000*0.0001/2</f>
        <v>0.05</v>
      </c>
      <c r="L121" s="281" t="e">
        <f>2*(G121^2+I121^2/4+J121^2/3+K121^2/3)^0.5</f>
        <v>#DIV/0!</v>
      </c>
      <c r="M121" s="228" t="e">
        <f>0.01*FORMAT_HAR_I!BW5*C121*1000</f>
        <v>#DIV/0!</v>
      </c>
      <c r="N121" s="229" t="e">
        <f>M121/10^0.5</f>
        <v>#DIV/0!</v>
      </c>
      <c r="O121" s="229">
        <f>1000*(0.000049*C121+0.0001)</f>
        <v>0.2127</v>
      </c>
      <c r="P121" s="276">
        <f>1000*C121*$O$172*0.01</f>
        <v>5.5554451056394401</v>
      </c>
      <c r="Q121" s="358"/>
      <c r="R121" s="294">
        <f>1000*0.0001/2</f>
        <v>0.05</v>
      </c>
      <c r="S121" s="281" t="e">
        <f>2*(N121^2+P121^2/4+Q121^2/3+R121^2/3)^0.5</f>
        <v>#DIV/0!</v>
      </c>
      <c r="T121" s="535" t="e">
        <f>IF(S121&gt;L121,S121,L121)</f>
        <v>#DIV/0!</v>
      </c>
      <c r="U121" s="312">
        <f>0.005*C121*1000</f>
        <v>11.5</v>
      </c>
      <c r="V121" s="458">
        <f>0.05*C121*1000</f>
        <v>114.99999999999999</v>
      </c>
      <c r="W121" s="319" t="e">
        <f>IF(ABS(D121)&lt;U121,TRUE,FALSE)</f>
        <v>#DIV/0!</v>
      </c>
      <c r="X121" s="467" t="e">
        <f>IF(ABS(E121)&lt;U121,TRUE,FALSE)</f>
        <v>#DIV/0!</v>
      </c>
      <c r="Y121" s="463" t="e">
        <f>IF(ABS(D121)&lt;V121,TRUE,FALSE)</f>
        <v>#DIV/0!</v>
      </c>
      <c r="Z121" s="316" t="e">
        <f>IF(ABS(E121)&lt;V121,TRUE,FALSE)</f>
        <v>#DIV/0!</v>
      </c>
    </row>
    <row r="122" spans="1:26" ht="12.9" customHeight="1">
      <c r="A122" s="116">
        <f t="shared" ref="A122:A170" si="69">50*B122</f>
        <v>100</v>
      </c>
      <c r="B122" s="353">
        <v>2</v>
      </c>
      <c r="C122" s="4">
        <f>FORMAT_HAR_I!C6</f>
        <v>1.08</v>
      </c>
      <c r="D122" s="383" t="e">
        <f>FORMAT_HAR_I!BZ6</f>
        <v>#DIV/0!</v>
      </c>
      <c r="E122" s="380" t="e">
        <f>FORMAT_HAR_I!CC6</f>
        <v>#DIV/0!</v>
      </c>
      <c r="F122" s="286" t="e">
        <f>0.01*FORMAT_HAR_I!AM6*C122*1000</f>
        <v>#DIV/0!</v>
      </c>
      <c r="G122" s="231" t="e">
        <f t="shared" ref="G122:G160" si="70">F122/10^0.5</f>
        <v>#DIV/0!</v>
      </c>
      <c r="H122" s="231">
        <f t="shared" ref="H122:H137" si="71">1000*(0.000064*C122+0.0002)</f>
        <v>0.26912000000000003</v>
      </c>
      <c r="I122" s="276">
        <f t="shared" ref="I122:I160" si="72">1000*C122*$H$172*0.01</f>
        <v>2.6086437887350415</v>
      </c>
      <c r="J122" s="276"/>
      <c r="K122" s="199">
        <f t="shared" ref="K122:K129" si="73">1000*0.0001/2</f>
        <v>0.05</v>
      </c>
      <c r="L122" s="281" t="e">
        <f t="shared" ref="L122:L160" si="74">2*(G122^2+I122^2/4+J122^2/3+K122^2/3)^0.5</f>
        <v>#DIV/0!</v>
      </c>
      <c r="M122" s="286" t="e">
        <f>0.01*FORMAT_HAR_I!BW6*C122*1000</f>
        <v>#DIV/0!</v>
      </c>
      <c r="N122" s="231" t="e">
        <f t="shared" ref="N122:N160" si="75">M122/10^0.5</f>
        <v>#DIV/0!</v>
      </c>
      <c r="O122" s="231">
        <f t="shared" ref="O122:O137" si="76">1000*(0.000064*C122+0.0002)</f>
        <v>0.26912000000000003</v>
      </c>
      <c r="P122" s="276">
        <f t="shared" ref="P122:P160" si="77">1000*C122*$O$172*0.01</f>
        <v>2.6086437887350415</v>
      </c>
      <c r="Q122" s="276"/>
      <c r="R122" s="199">
        <f t="shared" ref="R122:R129" si="78">1000*0.0001/2</f>
        <v>0.05</v>
      </c>
      <c r="S122" s="281" t="e">
        <f t="shared" ref="S122:S160" si="79">2*(N122^2+P122^2/4+Q122^2/3+R122^2/3)^0.5</f>
        <v>#DIV/0!</v>
      </c>
      <c r="T122" s="541" t="e">
        <f t="shared" ref="T122:T170" si="80">IF(S122&gt;L122,S122,L122)</f>
        <v>#DIV/0!</v>
      </c>
      <c r="U122" s="312">
        <f t="shared" ref="U122:U170" si="81">0.005*C122*1000</f>
        <v>5.4</v>
      </c>
      <c r="V122" s="458">
        <f t="shared" ref="V122:V135" si="82">0.05*C122*1000</f>
        <v>54.000000000000007</v>
      </c>
      <c r="W122" s="319" t="e">
        <f t="shared" ref="W122:W170" si="83">IF(ABS(D122)&lt;U122,TRUE,FALSE)</f>
        <v>#DIV/0!</v>
      </c>
      <c r="X122" s="467" t="e">
        <f t="shared" ref="X122:X170" si="84">IF(ABS(E122)&lt;U122,TRUE,FALSE)</f>
        <v>#DIV/0!</v>
      </c>
      <c r="Y122" s="463" t="e">
        <f t="shared" ref="Y122:Y170" si="85">IF(ABS(D122)&lt;V122,TRUE,FALSE)</f>
        <v>#DIV/0!</v>
      </c>
      <c r="Z122" s="316" t="e">
        <f t="shared" ref="Z122:Z170" si="86">IF(ABS(E122)&lt;V122,TRUE,FALSE)</f>
        <v>#DIV/0!</v>
      </c>
    </row>
    <row r="123" spans="1:26" ht="12.9" customHeight="1">
      <c r="A123" s="116">
        <f t="shared" si="69"/>
        <v>150</v>
      </c>
      <c r="B123" s="353">
        <v>3</v>
      </c>
      <c r="C123" s="4">
        <f>FORMAT_HAR_I!C7</f>
        <v>2.2999999999999998</v>
      </c>
      <c r="D123" s="383" t="e">
        <f>FORMAT_HAR_I!BZ7</f>
        <v>#DIV/0!</v>
      </c>
      <c r="E123" s="380" t="e">
        <f>FORMAT_HAR_I!CC7</f>
        <v>#DIV/0!</v>
      </c>
      <c r="F123" s="286" t="e">
        <f>0.01*FORMAT_HAR_I!AM7*C123*1000</f>
        <v>#DIV/0!</v>
      </c>
      <c r="G123" s="231" t="e">
        <f t="shared" si="70"/>
        <v>#DIV/0!</v>
      </c>
      <c r="H123" s="231">
        <f t="shared" si="71"/>
        <v>0.34720000000000001</v>
      </c>
      <c r="I123" s="276">
        <f t="shared" si="72"/>
        <v>5.5554451056394401</v>
      </c>
      <c r="J123" s="276"/>
      <c r="K123" s="199">
        <f t="shared" si="73"/>
        <v>0.05</v>
      </c>
      <c r="L123" s="281" t="e">
        <f t="shared" si="74"/>
        <v>#DIV/0!</v>
      </c>
      <c r="M123" s="286" t="e">
        <f>0.01*FORMAT_HAR_I!BW7*C123*1000</f>
        <v>#DIV/0!</v>
      </c>
      <c r="N123" s="231" t="e">
        <f t="shared" si="75"/>
        <v>#DIV/0!</v>
      </c>
      <c r="O123" s="231">
        <f t="shared" si="76"/>
        <v>0.34720000000000001</v>
      </c>
      <c r="P123" s="276">
        <f t="shared" si="77"/>
        <v>5.5554451056394401</v>
      </c>
      <c r="Q123" s="276"/>
      <c r="R123" s="199">
        <f t="shared" si="78"/>
        <v>0.05</v>
      </c>
      <c r="S123" s="281" t="e">
        <f t="shared" si="79"/>
        <v>#DIV/0!</v>
      </c>
      <c r="T123" s="541" t="e">
        <f t="shared" si="80"/>
        <v>#DIV/0!</v>
      </c>
      <c r="U123" s="312">
        <f t="shared" si="81"/>
        <v>11.5</v>
      </c>
      <c r="V123" s="458">
        <f t="shared" si="82"/>
        <v>114.99999999999999</v>
      </c>
      <c r="W123" s="319" t="e">
        <f t="shared" si="83"/>
        <v>#DIV/0!</v>
      </c>
      <c r="X123" s="467" t="e">
        <f t="shared" si="84"/>
        <v>#DIV/0!</v>
      </c>
      <c r="Y123" s="463" t="e">
        <f t="shared" si="85"/>
        <v>#DIV/0!</v>
      </c>
      <c r="Z123" s="316" t="e">
        <f t="shared" si="86"/>
        <v>#DIV/0!</v>
      </c>
    </row>
    <row r="124" spans="1:26" ht="12.9" customHeight="1">
      <c r="A124" s="116">
        <f t="shared" si="69"/>
        <v>200</v>
      </c>
      <c r="B124" s="353">
        <v>4</v>
      </c>
      <c r="C124" s="4">
        <f>FORMAT_HAR_I!C8</f>
        <v>0.43</v>
      </c>
      <c r="D124" s="383" t="e">
        <f>FORMAT_HAR_I!BZ8</f>
        <v>#DIV/0!</v>
      </c>
      <c r="E124" s="380" t="e">
        <f>FORMAT_HAR_I!CC8</f>
        <v>#DIV/0!</v>
      </c>
      <c r="F124" s="286" t="e">
        <f>0.01*FORMAT_HAR_I!AM8*C124*1000</f>
        <v>#DIV/0!</v>
      </c>
      <c r="G124" s="231" t="e">
        <f t="shared" si="70"/>
        <v>#DIV/0!</v>
      </c>
      <c r="H124" s="231">
        <f t="shared" si="71"/>
        <v>0.22752000000000003</v>
      </c>
      <c r="I124" s="276">
        <f t="shared" si="72"/>
        <v>1.0386266936630257</v>
      </c>
      <c r="J124" s="276"/>
      <c r="K124" s="199">
        <f t="shared" si="73"/>
        <v>0.05</v>
      </c>
      <c r="L124" s="281" t="e">
        <f t="shared" si="74"/>
        <v>#DIV/0!</v>
      </c>
      <c r="M124" s="286" t="e">
        <f>0.01*FORMAT_HAR_I!BW8*C124*1000</f>
        <v>#DIV/0!</v>
      </c>
      <c r="N124" s="231" t="e">
        <f t="shared" si="75"/>
        <v>#DIV/0!</v>
      </c>
      <c r="O124" s="231">
        <f t="shared" si="76"/>
        <v>0.22752000000000003</v>
      </c>
      <c r="P124" s="276">
        <f t="shared" si="77"/>
        <v>1.0386266936630257</v>
      </c>
      <c r="Q124" s="276"/>
      <c r="R124" s="199">
        <f t="shared" si="78"/>
        <v>0.05</v>
      </c>
      <c r="S124" s="281" t="e">
        <f t="shared" si="79"/>
        <v>#DIV/0!</v>
      </c>
      <c r="T124" s="541" t="e">
        <f t="shared" si="80"/>
        <v>#DIV/0!</v>
      </c>
      <c r="U124" s="312">
        <f t="shared" si="81"/>
        <v>2.15</v>
      </c>
      <c r="V124" s="458">
        <f t="shared" si="82"/>
        <v>21.5</v>
      </c>
      <c r="W124" s="319" t="e">
        <f t="shared" si="83"/>
        <v>#DIV/0!</v>
      </c>
      <c r="X124" s="467" t="e">
        <f t="shared" si="84"/>
        <v>#DIV/0!</v>
      </c>
      <c r="Y124" s="463" t="e">
        <f t="shared" si="85"/>
        <v>#DIV/0!</v>
      </c>
      <c r="Z124" s="316" t="e">
        <f t="shared" si="86"/>
        <v>#DIV/0!</v>
      </c>
    </row>
    <row r="125" spans="1:26" ht="12.9" customHeight="1">
      <c r="A125" s="116">
        <f t="shared" si="69"/>
        <v>250</v>
      </c>
      <c r="B125" s="353">
        <v>5</v>
      </c>
      <c r="C125" s="4">
        <f>FORMAT_HAR_I!C9</f>
        <v>1.1399999999999999</v>
      </c>
      <c r="D125" s="383" t="e">
        <f>FORMAT_HAR_I!BZ9</f>
        <v>#DIV/0!</v>
      </c>
      <c r="E125" s="380" t="e">
        <f>FORMAT_HAR_I!CC9</f>
        <v>#DIV/0!</v>
      </c>
      <c r="F125" s="286" t="e">
        <f>0.01*FORMAT_HAR_I!AM9*C125*1000</f>
        <v>#DIV/0!</v>
      </c>
      <c r="G125" s="231" t="e">
        <f t="shared" si="70"/>
        <v>#DIV/0!</v>
      </c>
      <c r="H125" s="231">
        <f t="shared" si="71"/>
        <v>0.27295999999999998</v>
      </c>
      <c r="I125" s="276">
        <f t="shared" si="72"/>
        <v>2.7535684436647658</v>
      </c>
      <c r="J125" s="276"/>
      <c r="K125" s="199">
        <f t="shared" si="73"/>
        <v>0.05</v>
      </c>
      <c r="L125" s="281" t="e">
        <f t="shared" si="74"/>
        <v>#DIV/0!</v>
      </c>
      <c r="M125" s="286" t="e">
        <f>0.01*FORMAT_HAR_I!BW9*C125*1000</f>
        <v>#DIV/0!</v>
      </c>
      <c r="N125" s="231" t="e">
        <f t="shared" si="75"/>
        <v>#DIV/0!</v>
      </c>
      <c r="O125" s="231">
        <f t="shared" si="76"/>
        <v>0.27295999999999998</v>
      </c>
      <c r="P125" s="276">
        <f t="shared" si="77"/>
        <v>2.7535684436647658</v>
      </c>
      <c r="Q125" s="276"/>
      <c r="R125" s="199">
        <f t="shared" si="78"/>
        <v>0.05</v>
      </c>
      <c r="S125" s="281" t="e">
        <f t="shared" si="79"/>
        <v>#DIV/0!</v>
      </c>
      <c r="T125" s="541" t="e">
        <f t="shared" si="80"/>
        <v>#DIV/0!</v>
      </c>
      <c r="U125" s="312">
        <f t="shared" si="81"/>
        <v>5.6999999999999993</v>
      </c>
      <c r="V125" s="458">
        <f t="shared" si="82"/>
        <v>56.999999999999993</v>
      </c>
      <c r="W125" s="319" t="e">
        <f t="shared" si="83"/>
        <v>#DIV/0!</v>
      </c>
      <c r="X125" s="467" t="e">
        <f t="shared" si="84"/>
        <v>#DIV/0!</v>
      </c>
      <c r="Y125" s="463" t="e">
        <f t="shared" si="85"/>
        <v>#DIV/0!</v>
      </c>
      <c r="Z125" s="316" t="e">
        <f t="shared" si="86"/>
        <v>#DIV/0!</v>
      </c>
    </row>
    <row r="126" spans="1:26" ht="12.9" customHeight="1">
      <c r="A126" s="116">
        <f t="shared" si="69"/>
        <v>300</v>
      </c>
      <c r="B126" s="353">
        <v>6</v>
      </c>
      <c r="C126" s="4">
        <f>FORMAT_HAR_I!C10</f>
        <v>0.3</v>
      </c>
      <c r="D126" s="361" t="e">
        <f>FORMAT_HAR_I!BZ10</f>
        <v>#DIV/0!</v>
      </c>
      <c r="E126" s="381" t="e">
        <f>FORMAT_HAR_I!CC10</f>
        <v>#DIV/0!</v>
      </c>
      <c r="F126" s="286" t="e">
        <f>0.01*FORMAT_HAR_I!AM10*C126*1000</f>
        <v>#DIV/0!</v>
      </c>
      <c r="G126" s="231" t="e">
        <f t="shared" si="70"/>
        <v>#DIV/0!</v>
      </c>
      <c r="H126" s="231">
        <f t="shared" si="71"/>
        <v>0.21920000000000001</v>
      </c>
      <c r="I126" s="276">
        <f t="shared" si="72"/>
        <v>0.72462327464862253</v>
      </c>
      <c r="J126" s="276"/>
      <c r="K126" s="199">
        <f>1000*0.00001/2</f>
        <v>5.0000000000000001E-3</v>
      </c>
      <c r="L126" s="282" t="e">
        <f t="shared" si="74"/>
        <v>#DIV/0!</v>
      </c>
      <c r="M126" s="286" t="e">
        <f>0.01*FORMAT_HAR_I!BW10*C126*1000</f>
        <v>#DIV/0!</v>
      </c>
      <c r="N126" s="231" t="e">
        <f t="shared" si="75"/>
        <v>#DIV/0!</v>
      </c>
      <c r="O126" s="231">
        <f t="shared" si="76"/>
        <v>0.21920000000000001</v>
      </c>
      <c r="P126" s="276">
        <f t="shared" si="77"/>
        <v>0.72462327464862253</v>
      </c>
      <c r="Q126" s="276"/>
      <c r="R126" s="199">
        <f>1000*0.00001/2</f>
        <v>5.0000000000000001E-3</v>
      </c>
      <c r="S126" s="282" t="e">
        <f t="shared" si="79"/>
        <v>#DIV/0!</v>
      </c>
      <c r="T126" s="541" t="e">
        <f t="shared" si="80"/>
        <v>#DIV/0!</v>
      </c>
      <c r="U126" s="312">
        <f t="shared" si="81"/>
        <v>1.5</v>
      </c>
      <c r="V126" s="458">
        <f t="shared" si="82"/>
        <v>15</v>
      </c>
      <c r="W126" s="319" t="e">
        <f t="shared" si="83"/>
        <v>#DIV/0!</v>
      </c>
      <c r="X126" s="467" t="e">
        <f t="shared" si="84"/>
        <v>#DIV/0!</v>
      </c>
      <c r="Y126" s="463" t="e">
        <f t="shared" si="85"/>
        <v>#DIV/0!</v>
      </c>
      <c r="Z126" s="316" t="e">
        <f t="shared" si="86"/>
        <v>#DIV/0!</v>
      </c>
    </row>
    <row r="127" spans="1:26" ht="12.9" customHeight="1">
      <c r="A127" s="116">
        <f t="shared" si="69"/>
        <v>350</v>
      </c>
      <c r="B127" s="353">
        <v>7</v>
      </c>
      <c r="C127" s="4">
        <f>FORMAT_HAR_I!C11</f>
        <v>0.77</v>
      </c>
      <c r="D127" s="383" t="e">
        <f>FORMAT_HAR_I!BZ11</f>
        <v>#DIV/0!</v>
      </c>
      <c r="E127" s="380" t="e">
        <f>FORMAT_HAR_I!CC11</f>
        <v>#DIV/0!</v>
      </c>
      <c r="F127" s="286" t="e">
        <f>0.01*FORMAT_HAR_I!AM11*C127*1000</f>
        <v>#DIV/0!</v>
      </c>
      <c r="G127" s="231" t="e">
        <f t="shared" si="70"/>
        <v>#DIV/0!</v>
      </c>
      <c r="H127" s="231">
        <f t="shared" si="71"/>
        <v>0.24928</v>
      </c>
      <c r="I127" s="276">
        <f t="shared" si="72"/>
        <v>1.8598664049314646</v>
      </c>
      <c r="J127" s="276"/>
      <c r="K127" s="199">
        <f t="shared" si="73"/>
        <v>0.05</v>
      </c>
      <c r="L127" s="281" t="e">
        <f t="shared" si="74"/>
        <v>#DIV/0!</v>
      </c>
      <c r="M127" s="286" t="e">
        <f>0.01*FORMAT_HAR_I!BW11*C127*1000</f>
        <v>#DIV/0!</v>
      </c>
      <c r="N127" s="231" t="e">
        <f t="shared" si="75"/>
        <v>#DIV/0!</v>
      </c>
      <c r="O127" s="231">
        <f t="shared" si="76"/>
        <v>0.24928</v>
      </c>
      <c r="P127" s="276">
        <f t="shared" si="77"/>
        <v>1.8598664049314646</v>
      </c>
      <c r="Q127" s="276"/>
      <c r="R127" s="199">
        <f t="shared" si="78"/>
        <v>0.05</v>
      </c>
      <c r="S127" s="281" t="e">
        <f t="shared" si="79"/>
        <v>#DIV/0!</v>
      </c>
      <c r="T127" s="541" t="e">
        <f t="shared" si="80"/>
        <v>#DIV/0!</v>
      </c>
      <c r="U127" s="312">
        <f t="shared" si="81"/>
        <v>3.85</v>
      </c>
      <c r="V127" s="458">
        <f t="shared" si="82"/>
        <v>38.500000000000007</v>
      </c>
      <c r="W127" s="319" t="e">
        <f t="shared" si="83"/>
        <v>#DIV/0!</v>
      </c>
      <c r="X127" s="467" t="e">
        <f t="shared" si="84"/>
        <v>#DIV/0!</v>
      </c>
      <c r="Y127" s="463" t="e">
        <f t="shared" si="85"/>
        <v>#DIV/0!</v>
      </c>
      <c r="Z127" s="316" t="e">
        <f t="shared" si="86"/>
        <v>#DIV/0!</v>
      </c>
    </row>
    <row r="128" spans="1:26" ht="12.9" customHeight="1">
      <c r="A128" s="116">
        <f t="shared" si="69"/>
        <v>400</v>
      </c>
      <c r="B128" s="353">
        <v>8</v>
      </c>
      <c r="C128" s="4">
        <f>FORMAT_HAR_I!C12</f>
        <v>0.23</v>
      </c>
      <c r="D128" s="361" t="e">
        <f>FORMAT_HAR_I!BZ12</f>
        <v>#DIV/0!</v>
      </c>
      <c r="E128" s="381" t="e">
        <f>FORMAT_HAR_I!CC12</f>
        <v>#DIV/0!</v>
      </c>
      <c r="F128" s="286" t="e">
        <f>0.01*FORMAT_HAR_I!AM12*C128*1000</f>
        <v>#DIV/0!</v>
      </c>
      <c r="G128" s="231" t="e">
        <f t="shared" si="70"/>
        <v>#DIV/0!</v>
      </c>
      <c r="H128" s="231">
        <f t="shared" si="71"/>
        <v>0.21471999999999999</v>
      </c>
      <c r="I128" s="276">
        <f t="shared" si="72"/>
        <v>0.55554451056394405</v>
      </c>
      <c r="J128" s="276"/>
      <c r="K128" s="199">
        <f>1000*0.00001/2</f>
        <v>5.0000000000000001E-3</v>
      </c>
      <c r="L128" s="282" t="e">
        <f t="shared" si="74"/>
        <v>#DIV/0!</v>
      </c>
      <c r="M128" s="286" t="e">
        <f>0.01*FORMAT_HAR_I!BW12*C128*1000</f>
        <v>#DIV/0!</v>
      </c>
      <c r="N128" s="231" t="e">
        <f t="shared" si="75"/>
        <v>#DIV/0!</v>
      </c>
      <c r="O128" s="231">
        <f t="shared" si="76"/>
        <v>0.21471999999999999</v>
      </c>
      <c r="P128" s="276">
        <f t="shared" si="77"/>
        <v>0.55554451056394405</v>
      </c>
      <c r="Q128" s="276"/>
      <c r="R128" s="199">
        <f>1000*0.00001/2</f>
        <v>5.0000000000000001E-3</v>
      </c>
      <c r="S128" s="282" t="e">
        <f t="shared" si="79"/>
        <v>#DIV/0!</v>
      </c>
      <c r="T128" s="541" t="e">
        <f t="shared" si="80"/>
        <v>#DIV/0!</v>
      </c>
      <c r="U128" s="312">
        <f t="shared" si="81"/>
        <v>1.1499999999999999</v>
      </c>
      <c r="V128" s="458">
        <f t="shared" si="82"/>
        <v>11.500000000000002</v>
      </c>
      <c r="W128" s="319" t="e">
        <f t="shared" si="83"/>
        <v>#DIV/0!</v>
      </c>
      <c r="X128" s="467" t="e">
        <f t="shared" si="84"/>
        <v>#DIV/0!</v>
      </c>
      <c r="Y128" s="463" t="e">
        <f t="shared" si="85"/>
        <v>#DIV/0!</v>
      </c>
      <c r="Z128" s="316" t="e">
        <f t="shared" si="86"/>
        <v>#DIV/0!</v>
      </c>
    </row>
    <row r="129" spans="1:26" ht="12.9" customHeight="1">
      <c r="A129" s="116">
        <f t="shared" si="69"/>
        <v>450</v>
      </c>
      <c r="B129" s="353">
        <v>9</v>
      </c>
      <c r="C129" s="4">
        <f>FORMAT_HAR_I!C13</f>
        <v>0.4</v>
      </c>
      <c r="D129" s="383" t="e">
        <f>FORMAT_HAR_I!BZ13</f>
        <v>#DIV/0!</v>
      </c>
      <c r="E129" s="380" t="e">
        <f>FORMAT_HAR_I!CC13</f>
        <v>#DIV/0!</v>
      </c>
      <c r="F129" s="286" t="e">
        <f>0.01*FORMAT_HAR_I!AM13*C129*1000</f>
        <v>#DIV/0!</v>
      </c>
      <c r="G129" s="231" t="e">
        <f t="shared" si="70"/>
        <v>#DIV/0!</v>
      </c>
      <c r="H129" s="231">
        <f t="shared" si="71"/>
        <v>0.22559999999999999</v>
      </c>
      <c r="I129" s="276">
        <f t="shared" si="72"/>
        <v>0.96616436619816359</v>
      </c>
      <c r="J129" s="276"/>
      <c r="K129" s="199">
        <f t="shared" si="73"/>
        <v>0.05</v>
      </c>
      <c r="L129" s="281" t="e">
        <f t="shared" si="74"/>
        <v>#DIV/0!</v>
      </c>
      <c r="M129" s="286" t="e">
        <f>0.01*FORMAT_HAR_I!BW13*C129*1000</f>
        <v>#DIV/0!</v>
      </c>
      <c r="N129" s="231" t="e">
        <f t="shared" si="75"/>
        <v>#DIV/0!</v>
      </c>
      <c r="O129" s="231">
        <f t="shared" si="76"/>
        <v>0.22559999999999999</v>
      </c>
      <c r="P129" s="276">
        <f t="shared" si="77"/>
        <v>0.96616436619816359</v>
      </c>
      <c r="Q129" s="276"/>
      <c r="R129" s="199">
        <f t="shared" si="78"/>
        <v>0.05</v>
      </c>
      <c r="S129" s="281" t="e">
        <f t="shared" si="79"/>
        <v>#DIV/0!</v>
      </c>
      <c r="T129" s="541" t="e">
        <f t="shared" si="80"/>
        <v>#DIV/0!</v>
      </c>
      <c r="U129" s="312">
        <f t="shared" si="81"/>
        <v>2</v>
      </c>
      <c r="V129" s="458">
        <f t="shared" si="82"/>
        <v>20.000000000000004</v>
      </c>
      <c r="W129" s="319" t="e">
        <f t="shared" si="83"/>
        <v>#DIV/0!</v>
      </c>
      <c r="X129" s="467" t="e">
        <f t="shared" si="84"/>
        <v>#DIV/0!</v>
      </c>
      <c r="Y129" s="463" t="e">
        <f t="shared" si="85"/>
        <v>#DIV/0!</v>
      </c>
      <c r="Z129" s="316" t="e">
        <f t="shared" si="86"/>
        <v>#DIV/0!</v>
      </c>
    </row>
    <row r="130" spans="1:26" ht="12.9" customHeight="1">
      <c r="A130" s="116">
        <f t="shared" si="69"/>
        <v>500</v>
      </c>
      <c r="B130" s="353">
        <v>10</v>
      </c>
      <c r="C130" s="4">
        <f>FORMAT_HAR_I!C14</f>
        <v>0.184</v>
      </c>
      <c r="D130" s="361" t="e">
        <f>FORMAT_HAR_I!BZ14</f>
        <v>#DIV/0!</v>
      </c>
      <c r="E130" s="381" t="e">
        <f>FORMAT_HAR_I!CC14</f>
        <v>#DIV/0!</v>
      </c>
      <c r="F130" s="286" t="e">
        <f>0.01*FORMAT_HAR_I!AM14*C130*1000</f>
        <v>#DIV/0!</v>
      </c>
      <c r="G130" s="231" t="e">
        <f t="shared" si="70"/>
        <v>#DIV/0!</v>
      </c>
      <c r="H130" s="231">
        <f t="shared" si="71"/>
        <v>0.21177599999999999</v>
      </c>
      <c r="I130" s="276">
        <f t="shared" si="72"/>
        <v>0.44443560845115521</v>
      </c>
      <c r="J130" s="276"/>
      <c r="K130" s="199">
        <f>1000*0.00001/2</f>
        <v>5.0000000000000001E-3</v>
      </c>
      <c r="L130" s="282" t="e">
        <f t="shared" si="74"/>
        <v>#DIV/0!</v>
      </c>
      <c r="M130" s="286" t="e">
        <f>0.01*FORMAT_HAR_I!BW14*C130*1000</f>
        <v>#DIV/0!</v>
      </c>
      <c r="N130" s="231" t="e">
        <f t="shared" si="75"/>
        <v>#DIV/0!</v>
      </c>
      <c r="O130" s="231">
        <f t="shared" si="76"/>
        <v>0.21177599999999999</v>
      </c>
      <c r="P130" s="276">
        <f t="shared" si="77"/>
        <v>0.44443560845115521</v>
      </c>
      <c r="Q130" s="276"/>
      <c r="R130" s="199">
        <f>1000*0.00001/2</f>
        <v>5.0000000000000001E-3</v>
      </c>
      <c r="S130" s="282" t="e">
        <f t="shared" si="79"/>
        <v>#DIV/0!</v>
      </c>
      <c r="T130" s="541" t="e">
        <f t="shared" si="80"/>
        <v>#DIV/0!</v>
      </c>
      <c r="U130" s="312">
        <f t="shared" si="81"/>
        <v>0.92</v>
      </c>
      <c r="V130" s="458">
        <f t="shared" si="82"/>
        <v>9.1999999999999993</v>
      </c>
      <c r="W130" s="319" t="e">
        <f t="shared" si="83"/>
        <v>#DIV/0!</v>
      </c>
      <c r="X130" s="467" t="e">
        <f t="shared" si="84"/>
        <v>#DIV/0!</v>
      </c>
      <c r="Y130" s="463" t="e">
        <f t="shared" si="85"/>
        <v>#DIV/0!</v>
      </c>
      <c r="Z130" s="316" t="e">
        <f t="shared" si="86"/>
        <v>#DIV/0!</v>
      </c>
    </row>
    <row r="131" spans="1:26" ht="12.9" customHeight="1">
      <c r="A131" s="116">
        <f t="shared" si="69"/>
        <v>550</v>
      </c>
      <c r="B131" s="353">
        <v>11</v>
      </c>
      <c r="C131" s="4">
        <f>FORMAT_HAR_I!C15</f>
        <v>0.33</v>
      </c>
      <c r="D131" s="361" t="e">
        <f>FORMAT_HAR_I!BZ15</f>
        <v>#DIV/0!</v>
      </c>
      <c r="E131" s="381" t="e">
        <f>FORMAT_HAR_I!CC15</f>
        <v>#DIV/0!</v>
      </c>
      <c r="F131" s="286" t="e">
        <f>0.01*FORMAT_HAR_I!AM15*C131*1000</f>
        <v>#DIV/0!</v>
      </c>
      <c r="G131" s="231" t="e">
        <f t="shared" si="70"/>
        <v>#DIV/0!</v>
      </c>
      <c r="H131" s="231">
        <f t="shared" si="71"/>
        <v>0.22111999999999998</v>
      </c>
      <c r="I131" s="276">
        <f t="shared" si="72"/>
        <v>0.79708560211348489</v>
      </c>
      <c r="J131" s="276"/>
      <c r="K131" s="199">
        <f t="shared" ref="K131:K160" si="87">1000*0.00001/2</f>
        <v>5.0000000000000001E-3</v>
      </c>
      <c r="L131" s="282" t="e">
        <f t="shared" si="74"/>
        <v>#DIV/0!</v>
      </c>
      <c r="M131" s="286" t="e">
        <f>0.01*FORMAT_HAR_I!BW15*C131*1000</f>
        <v>#DIV/0!</v>
      </c>
      <c r="N131" s="231" t="e">
        <f t="shared" si="75"/>
        <v>#DIV/0!</v>
      </c>
      <c r="O131" s="231">
        <f t="shared" si="76"/>
        <v>0.22111999999999998</v>
      </c>
      <c r="P131" s="276">
        <f t="shared" si="77"/>
        <v>0.79708560211348489</v>
      </c>
      <c r="Q131" s="276"/>
      <c r="R131" s="199">
        <f t="shared" ref="R131:R160" si="88">1000*0.00001/2</f>
        <v>5.0000000000000001E-3</v>
      </c>
      <c r="S131" s="282" t="e">
        <f t="shared" si="79"/>
        <v>#DIV/0!</v>
      </c>
      <c r="T131" s="541" t="e">
        <f t="shared" si="80"/>
        <v>#DIV/0!</v>
      </c>
      <c r="U131" s="312">
        <f t="shared" si="81"/>
        <v>1.6500000000000001</v>
      </c>
      <c r="V131" s="458">
        <f t="shared" si="82"/>
        <v>16.5</v>
      </c>
      <c r="W131" s="319" t="e">
        <f t="shared" si="83"/>
        <v>#DIV/0!</v>
      </c>
      <c r="X131" s="467" t="e">
        <f t="shared" si="84"/>
        <v>#DIV/0!</v>
      </c>
      <c r="Y131" s="463" t="e">
        <f t="shared" si="85"/>
        <v>#DIV/0!</v>
      </c>
      <c r="Z131" s="316" t="e">
        <f t="shared" si="86"/>
        <v>#DIV/0!</v>
      </c>
    </row>
    <row r="132" spans="1:26" ht="12.9" customHeight="1">
      <c r="A132" s="116">
        <f t="shared" si="69"/>
        <v>600</v>
      </c>
      <c r="B132" s="353">
        <v>12</v>
      </c>
      <c r="C132" s="4">
        <f>FORMAT_HAR_I!C16</f>
        <v>0.15332999999999999</v>
      </c>
      <c r="D132" s="361" t="e">
        <f>FORMAT_HAR_I!BZ16</f>
        <v>#DIV/0!</v>
      </c>
      <c r="E132" s="381" t="e">
        <f>FORMAT_HAR_I!CC16</f>
        <v>#DIV/0!</v>
      </c>
      <c r="F132" s="286" t="e">
        <f>0.01*FORMAT_HAR_I!AM16*C132*1000</f>
        <v>#DIV/0!</v>
      </c>
      <c r="G132" s="231" t="e">
        <f t="shared" si="70"/>
        <v>#DIV/0!</v>
      </c>
      <c r="H132" s="231">
        <f t="shared" si="71"/>
        <v>0.20981311999999999</v>
      </c>
      <c r="I132" s="276">
        <f t="shared" si="72"/>
        <v>0.37035495567291099</v>
      </c>
      <c r="J132" s="276"/>
      <c r="K132" s="199">
        <f t="shared" si="87"/>
        <v>5.0000000000000001E-3</v>
      </c>
      <c r="L132" s="282" t="e">
        <f t="shared" si="74"/>
        <v>#DIV/0!</v>
      </c>
      <c r="M132" s="286" t="e">
        <f>0.01*FORMAT_HAR_I!BW16*C132*1000</f>
        <v>#DIV/0!</v>
      </c>
      <c r="N132" s="231" t="e">
        <f t="shared" si="75"/>
        <v>#DIV/0!</v>
      </c>
      <c r="O132" s="231">
        <f t="shared" si="76"/>
        <v>0.20981311999999999</v>
      </c>
      <c r="P132" s="276">
        <f t="shared" si="77"/>
        <v>0.37035495567291099</v>
      </c>
      <c r="Q132" s="276"/>
      <c r="R132" s="199">
        <f t="shared" si="88"/>
        <v>5.0000000000000001E-3</v>
      </c>
      <c r="S132" s="282" t="e">
        <f t="shared" si="79"/>
        <v>#DIV/0!</v>
      </c>
      <c r="T132" s="541" t="e">
        <f t="shared" si="80"/>
        <v>#DIV/0!</v>
      </c>
      <c r="U132" s="312">
        <f t="shared" si="81"/>
        <v>0.76665000000000005</v>
      </c>
      <c r="V132" s="458">
        <f t="shared" si="82"/>
        <v>7.6665000000000001</v>
      </c>
      <c r="W132" s="319" t="e">
        <f t="shared" si="83"/>
        <v>#DIV/0!</v>
      </c>
      <c r="X132" s="467" t="e">
        <f t="shared" si="84"/>
        <v>#DIV/0!</v>
      </c>
      <c r="Y132" s="463" t="e">
        <f t="shared" si="85"/>
        <v>#DIV/0!</v>
      </c>
      <c r="Z132" s="316" t="e">
        <f t="shared" si="86"/>
        <v>#DIV/0!</v>
      </c>
    </row>
    <row r="133" spans="1:26" ht="12.9" customHeight="1">
      <c r="A133" s="116">
        <f t="shared" si="69"/>
        <v>650</v>
      </c>
      <c r="B133" s="353">
        <v>13</v>
      </c>
      <c r="C133" s="4">
        <f>FORMAT_HAR_I!C17</f>
        <v>0.21</v>
      </c>
      <c r="D133" s="361" t="e">
        <f>FORMAT_HAR_I!BZ17</f>
        <v>#DIV/0!</v>
      </c>
      <c r="E133" s="381" t="e">
        <f>FORMAT_HAR_I!CC17</f>
        <v>#DIV/0!</v>
      </c>
      <c r="F133" s="286" t="e">
        <f>0.01*FORMAT_HAR_I!AM17*C133*1000</f>
        <v>#DIV/0!</v>
      </c>
      <c r="G133" s="231" t="e">
        <f t="shared" si="70"/>
        <v>#DIV/0!</v>
      </c>
      <c r="H133" s="231">
        <f t="shared" si="71"/>
        <v>0.21344000000000002</v>
      </c>
      <c r="I133" s="276">
        <f t="shared" si="72"/>
        <v>0.50723629225403588</v>
      </c>
      <c r="J133" s="276"/>
      <c r="K133" s="199">
        <f t="shared" si="87"/>
        <v>5.0000000000000001E-3</v>
      </c>
      <c r="L133" s="282" t="e">
        <f t="shared" si="74"/>
        <v>#DIV/0!</v>
      </c>
      <c r="M133" s="286" t="e">
        <f>0.01*FORMAT_HAR_I!BW17*C133*1000</f>
        <v>#DIV/0!</v>
      </c>
      <c r="N133" s="231" t="e">
        <f t="shared" si="75"/>
        <v>#DIV/0!</v>
      </c>
      <c r="O133" s="231">
        <f t="shared" si="76"/>
        <v>0.21344000000000002</v>
      </c>
      <c r="P133" s="276">
        <f t="shared" si="77"/>
        <v>0.50723629225403588</v>
      </c>
      <c r="Q133" s="276"/>
      <c r="R133" s="199">
        <f t="shared" si="88"/>
        <v>5.0000000000000001E-3</v>
      </c>
      <c r="S133" s="282" t="e">
        <f t="shared" si="79"/>
        <v>#DIV/0!</v>
      </c>
      <c r="T133" s="541" t="e">
        <f t="shared" si="80"/>
        <v>#DIV/0!</v>
      </c>
      <c r="U133" s="312">
        <f t="shared" si="81"/>
        <v>1.05</v>
      </c>
      <c r="V133" s="458">
        <f t="shared" si="82"/>
        <v>10.5</v>
      </c>
      <c r="W133" s="319" t="e">
        <f t="shared" si="83"/>
        <v>#DIV/0!</v>
      </c>
      <c r="X133" s="467" t="e">
        <f t="shared" si="84"/>
        <v>#DIV/0!</v>
      </c>
      <c r="Y133" s="463" t="e">
        <f t="shared" si="85"/>
        <v>#DIV/0!</v>
      </c>
      <c r="Z133" s="316" t="e">
        <f t="shared" si="86"/>
        <v>#DIV/0!</v>
      </c>
    </row>
    <row r="134" spans="1:26" ht="12.9" customHeight="1">
      <c r="A134" s="116">
        <f t="shared" si="69"/>
        <v>700</v>
      </c>
      <c r="B134" s="353">
        <v>14</v>
      </c>
      <c r="C134" s="4">
        <f>FORMAT_HAR_I!C18</f>
        <v>0.13142999999999999</v>
      </c>
      <c r="D134" s="361" t="e">
        <f>FORMAT_HAR_I!BZ18</f>
        <v>#DIV/0!</v>
      </c>
      <c r="E134" s="381" t="e">
        <f>FORMAT_HAR_I!CC18</f>
        <v>#DIV/0!</v>
      </c>
      <c r="F134" s="286" t="e">
        <f>0.01*FORMAT_HAR_I!AM18*C134*1000</f>
        <v>#DIV/0!</v>
      </c>
      <c r="G134" s="231" t="e">
        <f t="shared" si="70"/>
        <v>#DIV/0!</v>
      </c>
      <c r="H134" s="231">
        <f t="shared" si="71"/>
        <v>0.20841152000000002</v>
      </c>
      <c r="I134" s="276">
        <f t="shared" si="72"/>
        <v>0.31745745662356151</v>
      </c>
      <c r="J134" s="276"/>
      <c r="K134" s="199">
        <f t="shared" si="87"/>
        <v>5.0000000000000001E-3</v>
      </c>
      <c r="L134" s="282" t="e">
        <f t="shared" si="74"/>
        <v>#DIV/0!</v>
      </c>
      <c r="M134" s="286" t="e">
        <f>0.01*FORMAT_HAR_I!BW18*C134*1000</f>
        <v>#DIV/0!</v>
      </c>
      <c r="N134" s="231" t="e">
        <f t="shared" si="75"/>
        <v>#DIV/0!</v>
      </c>
      <c r="O134" s="231">
        <f t="shared" si="76"/>
        <v>0.20841152000000002</v>
      </c>
      <c r="P134" s="276">
        <f t="shared" si="77"/>
        <v>0.31745745662356151</v>
      </c>
      <c r="Q134" s="276"/>
      <c r="R134" s="199">
        <f t="shared" si="88"/>
        <v>5.0000000000000001E-3</v>
      </c>
      <c r="S134" s="282" t="e">
        <f t="shared" si="79"/>
        <v>#DIV/0!</v>
      </c>
      <c r="T134" s="541" t="e">
        <f t="shared" si="80"/>
        <v>#DIV/0!</v>
      </c>
      <c r="U134" s="312">
        <f t="shared" si="81"/>
        <v>0.65715000000000001</v>
      </c>
      <c r="V134" s="458">
        <f>0.0015*5*1000</f>
        <v>7.5</v>
      </c>
      <c r="W134" s="319" t="e">
        <f t="shared" si="83"/>
        <v>#DIV/0!</v>
      </c>
      <c r="X134" s="467" t="e">
        <f t="shared" si="84"/>
        <v>#DIV/0!</v>
      </c>
      <c r="Y134" s="463" t="e">
        <f t="shared" si="85"/>
        <v>#DIV/0!</v>
      </c>
      <c r="Z134" s="316" t="e">
        <f t="shared" si="86"/>
        <v>#DIV/0!</v>
      </c>
    </row>
    <row r="135" spans="1:26" ht="12.9" customHeight="1">
      <c r="A135" s="116">
        <f t="shared" si="69"/>
        <v>750</v>
      </c>
      <c r="B135" s="353">
        <v>15</v>
      </c>
      <c r="C135" s="4">
        <f>FORMAT_HAR_I!C19</f>
        <v>0.15</v>
      </c>
      <c r="D135" s="361" t="e">
        <f>FORMAT_HAR_I!BZ19</f>
        <v>#DIV/0!</v>
      </c>
      <c r="E135" s="381" t="e">
        <f>FORMAT_HAR_I!CC19</f>
        <v>#DIV/0!</v>
      </c>
      <c r="F135" s="286" t="e">
        <f>0.01*FORMAT_HAR_I!AM19*C135*1000</f>
        <v>#DIV/0!</v>
      </c>
      <c r="G135" s="231" t="e">
        <f t="shared" si="70"/>
        <v>#DIV/0!</v>
      </c>
      <c r="H135" s="231">
        <f t="shared" si="71"/>
        <v>0.20960000000000001</v>
      </c>
      <c r="I135" s="276">
        <f t="shared" si="72"/>
        <v>0.36231163732431126</v>
      </c>
      <c r="J135" s="276"/>
      <c r="K135" s="199">
        <f t="shared" si="87"/>
        <v>5.0000000000000001E-3</v>
      </c>
      <c r="L135" s="282" t="e">
        <f t="shared" si="74"/>
        <v>#DIV/0!</v>
      </c>
      <c r="M135" s="286" t="e">
        <f>0.01*FORMAT_HAR_I!BW19*C135*1000</f>
        <v>#DIV/0!</v>
      </c>
      <c r="N135" s="231" t="e">
        <f t="shared" si="75"/>
        <v>#DIV/0!</v>
      </c>
      <c r="O135" s="231">
        <f t="shared" si="76"/>
        <v>0.20960000000000001</v>
      </c>
      <c r="P135" s="276">
        <f t="shared" si="77"/>
        <v>0.36231163732431126</v>
      </c>
      <c r="Q135" s="276"/>
      <c r="R135" s="199">
        <f t="shared" si="88"/>
        <v>5.0000000000000001E-3</v>
      </c>
      <c r="S135" s="282" t="e">
        <f t="shared" si="79"/>
        <v>#DIV/0!</v>
      </c>
      <c r="T135" s="541" t="e">
        <f t="shared" si="80"/>
        <v>#DIV/0!</v>
      </c>
      <c r="U135" s="312">
        <f t="shared" si="81"/>
        <v>0.75</v>
      </c>
      <c r="V135" s="458">
        <f t="shared" si="82"/>
        <v>7.5</v>
      </c>
      <c r="W135" s="319" t="e">
        <f t="shared" si="83"/>
        <v>#DIV/0!</v>
      </c>
      <c r="X135" s="467" t="e">
        <f t="shared" si="84"/>
        <v>#DIV/0!</v>
      </c>
      <c r="Y135" s="463" t="e">
        <f t="shared" si="85"/>
        <v>#DIV/0!</v>
      </c>
      <c r="Z135" s="316" t="e">
        <f t="shared" si="86"/>
        <v>#DIV/0!</v>
      </c>
    </row>
    <row r="136" spans="1:26" ht="12.9" customHeight="1">
      <c r="A136" s="116">
        <f t="shared" si="69"/>
        <v>800</v>
      </c>
      <c r="B136" s="353">
        <v>16</v>
      </c>
      <c r="C136" s="4">
        <f>FORMAT_HAR_I!C20</f>
        <v>0.115</v>
      </c>
      <c r="D136" s="361" t="e">
        <f>FORMAT_HAR_I!BZ20</f>
        <v>#DIV/0!</v>
      </c>
      <c r="E136" s="381" t="e">
        <f>FORMAT_HAR_I!CC20</f>
        <v>#DIV/0!</v>
      </c>
      <c r="F136" s="286" t="e">
        <f>0.01*FORMAT_HAR_I!AM20*C136*1000</f>
        <v>#DIV/0!</v>
      </c>
      <c r="G136" s="231" t="e">
        <f t="shared" si="70"/>
        <v>#DIV/0!</v>
      </c>
      <c r="H136" s="231">
        <f t="shared" si="71"/>
        <v>0.20736000000000002</v>
      </c>
      <c r="I136" s="276">
        <f t="shared" si="72"/>
        <v>0.27777225528197202</v>
      </c>
      <c r="J136" s="276"/>
      <c r="K136" s="199">
        <f t="shared" si="87"/>
        <v>5.0000000000000001E-3</v>
      </c>
      <c r="L136" s="282" t="e">
        <f t="shared" si="74"/>
        <v>#DIV/0!</v>
      </c>
      <c r="M136" s="286" t="e">
        <f>0.01*FORMAT_HAR_I!BW20*C136*1000</f>
        <v>#DIV/0!</v>
      </c>
      <c r="N136" s="231" t="e">
        <f t="shared" si="75"/>
        <v>#DIV/0!</v>
      </c>
      <c r="O136" s="231">
        <f t="shared" si="76"/>
        <v>0.20736000000000002</v>
      </c>
      <c r="P136" s="276">
        <f t="shared" si="77"/>
        <v>0.27777225528197202</v>
      </c>
      <c r="Q136" s="276"/>
      <c r="R136" s="199">
        <f t="shared" si="88"/>
        <v>5.0000000000000001E-3</v>
      </c>
      <c r="S136" s="282" t="e">
        <f t="shared" si="79"/>
        <v>#DIV/0!</v>
      </c>
      <c r="T136" s="541" t="e">
        <f t="shared" si="80"/>
        <v>#DIV/0!</v>
      </c>
      <c r="U136" s="312">
        <f t="shared" si="81"/>
        <v>0.57499999999999996</v>
      </c>
      <c r="V136" s="458">
        <f>0.0015*5*1000</f>
        <v>7.5</v>
      </c>
      <c r="W136" s="319" t="e">
        <f t="shared" si="83"/>
        <v>#DIV/0!</v>
      </c>
      <c r="X136" s="467" t="e">
        <f t="shared" si="84"/>
        <v>#DIV/0!</v>
      </c>
      <c r="Y136" s="463" t="e">
        <f t="shared" si="85"/>
        <v>#DIV/0!</v>
      </c>
      <c r="Z136" s="316" t="e">
        <f t="shared" si="86"/>
        <v>#DIV/0!</v>
      </c>
    </row>
    <row r="137" spans="1:26" ht="12.9" customHeight="1">
      <c r="A137" s="116">
        <f t="shared" si="69"/>
        <v>850</v>
      </c>
      <c r="B137" s="353">
        <v>17</v>
      </c>
      <c r="C137" s="4">
        <f>FORMAT_HAR_I!C21</f>
        <v>0.13235</v>
      </c>
      <c r="D137" s="361" t="e">
        <f>FORMAT_HAR_I!BZ21</f>
        <v>#DIV/0!</v>
      </c>
      <c r="E137" s="381" t="e">
        <f>FORMAT_HAR_I!CC21</f>
        <v>#DIV/0!</v>
      </c>
      <c r="F137" s="286" t="e">
        <f>0.01*FORMAT_HAR_I!AM21*C137*1000</f>
        <v>#DIV/0!</v>
      </c>
      <c r="G137" s="231" t="e">
        <f t="shared" si="70"/>
        <v>#DIV/0!</v>
      </c>
      <c r="H137" s="231">
        <f t="shared" si="71"/>
        <v>0.20847040000000003</v>
      </c>
      <c r="I137" s="276">
        <f t="shared" si="72"/>
        <v>0.31967963466581734</v>
      </c>
      <c r="J137" s="276"/>
      <c r="K137" s="199">
        <f t="shared" si="87"/>
        <v>5.0000000000000001E-3</v>
      </c>
      <c r="L137" s="282" t="e">
        <f t="shared" si="74"/>
        <v>#DIV/0!</v>
      </c>
      <c r="M137" s="286" t="e">
        <f>0.01*FORMAT_HAR_I!BW21*C137*1000</f>
        <v>#DIV/0!</v>
      </c>
      <c r="N137" s="231" t="e">
        <f t="shared" si="75"/>
        <v>#DIV/0!</v>
      </c>
      <c r="O137" s="231">
        <f t="shared" si="76"/>
        <v>0.20847040000000003</v>
      </c>
      <c r="P137" s="276">
        <f t="shared" si="77"/>
        <v>0.31967963466581734</v>
      </c>
      <c r="Q137" s="276"/>
      <c r="R137" s="199">
        <f t="shared" si="88"/>
        <v>5.0000000000000001E-3</v>
      </c>
      <c r="S137" s="282" t="e">
        <f t="shared" si="79"/>
        <v>#DIV/0!</v>
      </c>
      <c r="T137" s="541" t="e">
        <f t="shared" si="80"/>
        <v>#DIV/0!</v>
      </c>
      <c r="U137" s="312">
        <f t="shared" si="81"/>
        <v>0.66175000000000006</v>
      </c>
      <c r="V137" s="458">
        <f t="shared" ref="V137:V160" si="89">0.0015*5*1000</f>
        <v>7.5</v>
      </c>
      <c r="W137" s="319" t="e">
        <f t="shared" si="83"/>
        <v>#DIV/0!</v>
      </c>
      <c r="X137" s="467" t="e">
        <f t="shared" si="84"/>
        <v>#DIV/0!</v>
      </c>
      <c r="Y137" s="463" t="e">
        <f t="shared" si="85"/>
        <v>#DIV/0!</v>
      </c>
      <c r="Z137" s="316" t="e">
        <f t="shared" si="86"/>
        <v>#DIV/0!</v>
      </c>
    </row>
    <row r="138" spans="1:26" ht="12.9" customHeight="1">
      <c r="A138" s="116">
        <f t="shared" si="69"/>
        <v>900</v>
      </c>
      <c r="B138" s="353">
        <v>18</v>
      </c>
      <c r="C138" s="4">
        <f>FORMAT_HAR_I!C22</f>
        <v>0.10222000000000001</v>
      </c>
      <c r="D138" s="361" t="e">
        <f>FORMAT_HAR_I!BZ22</f>
        <v>#DIV/0!</v>
      </c>
      <c r="E138" s="381" t="e">
        <f>FORMAT_HAR_I!CC22</f>
        <v>#DIV/0!</v>
      </c>
      <c r="F138" s="286" t="e">
        <f>0.01*FORMAT_HAR_I!AM22*C138*1000</f>
        <v>#DIV/0!</v>
      </c>
      <c r="G138" s="231" t="e">
        <f t="shared" si="70"/>
        <v>#DIV/0!</v>
      </c>
      <c r="H138" s="231">
        <f t="shared" ref="H138:H160" si="90">1000*(0.0004*C138+0.0002)</f>
        <v>0.24088800000000002</v>
      </c>
      <c r="I138" s="276">
        <f t="shared" si="72"/>
        <v>0.2469033037819407</v>
      </c>
      <c r="J138" s="276"/>
      <c r="K138" s="199">
        <f t="shared" si="87"/>
        <v>5.0000000000000001E-3</v>
      </c>
      <c r="L138" s="282" t="e">
        <f t="shared" si="74"/>
        <v>#DIV/0!</v>
      </c>
      <c r="M138" s="286" t="e">
        <f>0.01*FORMAT_HAR_I!BW22*C138*1000</f>
        <v>#DIV/0!</v>
      </c>
      <c r="N138" s="231" t="e">
        <f t="shared" si="75"/>
        <v>#DIV/0!</v>
      </c>
      <c r="O138" s="231">
        <f t="shared" ref="O138:O160" si="91">1000*(0.0004*C138+0.0002)</f>
        <v>0.24088800000000002</v>
      </c>
      <c r="P138" s="276">
        <f t="shared" si="77"/>
        <v>0.2469033037819407</v>
      </c>
      <c r="Q138" s="276"/>
      <c r="R138" s="199">
        <f t="shared" si="88"/>
        <v>5.0000000000000001E-3</v>
      </c>
      <c r="S138" s="282" t="e">
        <f t="shared" si="79"/>
        <v>#DIV/0!</v>
      </c>
      <c r="T138" s="541" t="e">
        <f t="shared" si="80"/>
        <v>#DIV/0!</v>
      </c>
      <c r="U138" s="312">
        <f t="shared" si="81"/>
        <v>0.5111</v>
      </c>
      <c r="V138" s="458">
        <f t="shared" si="89"/>
        <v>7.5</v>
      </c>
      <c r="W138" s="319" t="e">
        <f t="shared" si="83"/>
        <v>#DIV/0!</v>
      </c>
      <c r="X138" s="467" t="e">
        <f t="shared" si="84"/>
        <v>#DIV/0!</v>
      </c>
      <c r="Y138" s="463" t="e">
        <f t="shared" si="85"/>
        <v>#DIV/0!</v>
      </c>
      <c r="Z138" s="316" t="e">
        <f t="shared" si="86"/>
        <v>#DIV/0!</v>
      </c>
    </row>
    <row r="139" spans="1:26" ht="12.9" customHeight="1">
      <c r="A139" s="116">
        <f t="shared" si="69"/>
        <v>950</v>
      </c>
      <c r="B139" s="353">
        <v>19</v>
      </c>
      <c r="C139" s="4">
        <f>FORMAT_HAR_I!C23</f>
        <v>0.11842</v>
      </c>
      <c r="D139" s="361" t="e">
        <f>FORMAT_HAR_I!BZ23</f>
        <v>#DIV/0!</v>
      </c>
      <c r="E139" s="381" t="e">
        <f>FORMAT_HAR_I!CC23</f>
        <v>#DIV/0!</v>
      </c>
      <c r="F139" s="286" t="e">
        <f>0.01*FORMAT_HAR_I!AM23*C139*1000</f>
        <v>#DIV/0!</v>
      </c>
      <c r="G139" s="231" t="e">
        <f t="shared" si="70"/>
        <v>#DIV/0!</v>
      </c>
      <c r="H139" s="231">
        <f t="shared" si="90"/>
        <v>0.24736800000000003</v>
      </c>
      <c r="I139" s="276">
        <f t="shared" si="72"/>
        <v>0.28603296061296635</v>
      </c>
      <c r="J139" s="276"/>
      <c r="K139" s="199">
        <f t="shared" si="87"/>
        <v>5.0000000000000001E-3</v>
      </c>
      <c r="L139" s="282" t="e">
        <f t="shared" si="74"/>
        <v>#DIV/0!</v>
      </c>
      <c r="M139" s="286" t="e">
        <f>0.01*FORMAT_HAR_I!BW23*C139*1000</f>
        <v>#DIV/0!</v>
      </c>
      <c r="N139" s="231" t="e">
        <f t="shared" si="75"/>
        <v>#DIV/0!</v>
      </c>
      <c r="O139" s="231">
        <f t="shared" si="91"/>
        <v>0.24736800000000003</v>
      </c>
      <c r="P139" s="276">
        <f t="shared" si="77"/>
        <v>0.28603296061296635</v>
      </c>
      <c r="Q139" s="276"/>
      <c r="R139" s="199">
        <f t="shared" si="88"/>
        <v>5.0000000000000001E-3</v>
      </c>
      <c r="S139" s="282" t="e">
        <f t="shared" si="79"/>
        <v>#DIV/0!</v>
      </c>
      <c r="T139" s="541" t="e">
        <f t="shared" si="80"/>
        <v>#DIV/0!</v>
      </c>
      <c r="U139" s="312">
        <f t="shared" si="81"/>
        <v>0.59210000000000007</v>
      </c>
      <c r="V139" s="458">
        <f t="shared" si="89"/>
        <v>7.5</v>
      </c>
      <c r="W139" s="319" t="e">
        <f t="shared" si="83"/>
        <v>#DIV/0!</v>
      </c>
      <c r="X139" s="467" t="e">
        <f t="shared" si="84"/>
        <v>#DIV/0!</v>
      </c>
      <c r="Y139" s="463" t="e">
        <f t="shared" si="85"/>
        <v>#DIV/0!</v>
      </c>
      <c r="Z139" s="316" t="e">
        <f t="shared" si="86"/>
        <v>#DIV/0!</v>
      </c>
    </row>
    <row r="140" spans="1:26" ht="12.9" customHeight="1">
      <c r="A140" s="116">
        <f t="shared" si="69"/>
        <v>1000</v>
      </c>
      <c r="B140" s="353">
        <v>20</v>
      </c>
      <c r="C140" s="4">
        <f>FORMAT_HAR_I!C24</f>
        <v>9.1999999999999998E-2</v>
      </c>
      <c r="D140" s="361" t="e">
        <f>FORMAT_HAR_I!BZ24</f>
        <v>#DIV/0!</v>
      </c>
      <c r="E140" s="381" t="e">
        <f>FORMAT_HAR_I!CC24</f>
        <v>#DIV/0!</v>
      </c>
      <c r="F140" s="286" t="e">
        <f>0.01*FORMAT_HAR_I!AM24*C140*1000</f>
        <v>#DIV/0!</v>
      </c>
      <c r="G140" s="231" t="e">
        <f t="shared" si="70"/>
        <v>#DIV/0!</v>
      </c>
      <c r="H140" s="231">
        <f t="shared" si="90"/>
        <v>0.23680000000000001</v>
      </c>
      <c r="I140" s="276">
        <f t="shared" si="72"/>
        <v>0.2222178042255776</v>
      </c>
      <c r="J140" s="276"/>
      <c r="K140" s="199">
        <f t="shared" si="87"/>
        <v>5.0000000000000001E-3</v>
      </c>
      <c r="L140" s="282" t="e">
        <f t="shared" si="74"/>
        <v>#DIV/0!</v>
      </c>
      <c r="M140" s="286" t="e">
        <f>0.01*FORMAT_HAR_I!BW24*C140*1000</f>
        <v>#DIV/0!</v>
      </c>
      <c r="N140" s="231" t="e">
        <f t="shared" si="75"/>
        <v>#DIV/0!</v>
      </c>
      <c r="O140" s="231">
        <f t="shared" si="91"/>
        <v>0.23680000000000001</v>
      </c>
      <c r="P140" s="276">
        <f t="shared" si="77"/>
        <v>0.2222178042255776</v>
      </c>
      <c r="Q140" s="276"/>
      <c r="R140" s="199">
        <f t="shared" si="88"/>
        <v>5.0000000000000001E-3</v>
      </c>
      <c r="S140" s="282" t="e">
        <f t="shared" si="79"/>
        <v>#DIV/0!</v>
      </c>
      <c r="T140" s="541" t="e">
        <f t="shared" si="80"/>
        <v>#DIV/0!</v>
      </c>
      <c r="U140" s="312">
        <f t="shared" si="81"/>
        <v>0.46</v>
      </c>
      <c r="V140" s="458">
        <f t="shared" si="89"/>
        <v>7.5</v>
      </c>
      <c r="W140" s="319" t="e">
        <f t="shared" si="83"/>
        <v>#DIV/0!</v>
      </c>
      <c r="X140" s="467" t="e">
        <f t="shared" si="84"/>
        <v>#DIV/0!</v>
      </c>
      <c r="Y140" s="463" t="e">
        <f t="shared" si="85"/>
        <v>#DIV/0!</v>
      </c>
      <c r="Z140" s="316" t="e">
        <f t="shared" si="86"/>
        <v>#DIV/0!</v>
      </c>
    </row>
    <row r="141" spans="1:26" ht="12.9" customHeight="1">
      <c r="A141" s="116">
        <f t="shared" si="69"/>
        <v>1050</v>
      </c>
      <c r="B141" s="353">
        <v>21</v>
      </c>
      <c r="C141" s="4">
        <f>FORMAT_HAR_I!C25</f>
        <v>0.10714</v>
      </c>
      <c r="D141" s="361" t="e">
        <f>FORMAT_HAR_I!BZ25</f>
        <v>#DIV/0!</v>
      </c>
      <c r="E141" s="381" t="e">
        <f>FORMAT_HAR_I!CC25</f>
        <v>#DIV/0!</v>
      </c>
      <c r="F141" s="286" t="e">
        <f>0.01*FORMAT_HAR_I!AM25*C141*1000</f>
        <v>#DIV/0!</v>
      </c>
      <c r="G141" s="231" t="e">
        <f t="shared" si="70"/>
        <v>#DIV/0!</v>
      </c>
      <c r="H141" s="231">
        <f t="shared" si="90"/>
        <v>0.24285600000000002</v>
      </c>
      <c r="I141" s="276">
        <f t="shared" si="72"/>
        <v>0.2587871254861781</v>
      </c>
      <c r="J141" s="276"/>
      <c r="K141" s="199">
        <f t="shared" si="87"/>
        <v>5.0000000000000001E-3</v>
      </c>
      <c r="L141" s="282" t="e">
        <f t="shared" si="74"/>
        <v>#DIV/0!</v>
      </c>
      <c r="M141" s="286" t="e">
        <f>0.01*FORMAT_HAR_I!BW25*C141*1000</f>
        <v>#DIV/0!</v>
      </c>
      <c r="N141" s="231" t="e">
        <f t="shared" si="75"/>
        <v>#DIV/0!</v>
      </c>
      <c r="O141" s="231">
        <f t="shared" si="91"/>
        <v>0.24285600000000002</v>
      </c>
      <c r="P141" s="276">
        <f t="shared" si="77"/>
        <v>0.2587871254861781</v>
      </c>
      <c r="Q141" s="276"/>
      <c r="R141" s="199">
        <f t="shared" si="88"/>
        <v>5.0000000000000001E-3</v>
      </c>
      <c r="S141" s="282" t="e">
        <f t="shared" si="79"/>
        <v>#DIV/0!</v>
      </c>
      <c r="T141" s="541" t="e">
        <f t="shared" si="80"/>
        <v>#DIV/0!</v>
      </c>
      <c r="U141" s="312">
        <f t="shared" si="81"/>
        <v>0.53569999999999995</v>
      </c>
      <c r="V141" s="458">
        <f t="shared" si="89"/>
        <v>7.5</v>
      </c>
      <c r="W141" s="319" t="e">
        <f t="shared" si="83"/>
        <v>#DIV/0!</v>
      </c>
      <c r="X141" s="467" t="e">
        <f t="shared" si="84"/>
        <v>#DIV/0!</v>
      </c>
      <c r="Y141" s="463" t="e">
        <f t="shared" si="85"/>
        <v>#DIV/0!</v>
      </c>
      <c r="Z141" s="316" t="e">
        <f t="shared" si="86"/>
        <v>#DIV/0!</v>
      </c>
    </row>
    <row r="142" spans="1:26" ht="12.9" customHeight="1">
      <c r="A142" s="116">
        <f t="shared" si="69"/>
        <v>1100</v>
      </c>
      <c r="B142" s="353">
        <v>22</v>
      </c>
      <c r="C142" s="4">
        <f>FORMAT_HAR_I!C26</f>
        <v>8.3640000000000006E-2</v>
      </c>
      <c r="D142" s="361" t="e">
        <f>FORMAT_HAR_I!BZ26</f>
        <v>#DIV/0!</v>
      </c>
      <c r="E142" s="381" t="e">
        <f>FORMAT_HAR_I!CC26</f>
        <v>#DIV/0!</v>
      </c>
      <c r="F142" s="286" t="e">
        <f>0.01*FORMAT_HAR_I!AM26*C142*1000</f>
        <v>#DIV/0!</v>
      </c>
      <c r="G142" s="231" t="e">
        <f t="shared" si="70"/>
        <v>#DIV/0!</v>
      </c>
      <c r="H142" s="231">
        <f t="shared" si="90"/>
        <v>0.23345600000000002</v>
      </c>
      <c r="I142" s="276">
        <f t="shared" si="72"/>
        <v>0.20202496897203598</v>
      </c>
      <c r="J142" s="276"/>
      <c r="K142" s="199">
        <f t="shared" si="87"/>
        <v>5.0000000000000001E-3</v>
      </c>
      <c r="L142" s="282" t="e">
        <f t="shared" si="74"/>
        <v>#DIV/0!</v>
      </c>
      <c r="M142" s="286" t="e">
        <f>0.01*FORMAT_HAR_I!BW26*C142*1000</f>
        <v>#DIV/0!</v>
      </c>
      <c r="N142" s="231" t="e">
        <f t="shared" si="75"/>
        <v>#DIV/0!</v>
      </c>
      <c r="O142" s="231">
        <f t="shared" si="91"/>
        <v>0.23345600000000002</v>
      </c>
      <c r="P142" s="276">
        <f t="shared" si="77"/>
        <v>0.20202496897203598</v>
      </c>
      <c r="Q142" s="276"/>
      <c r="R142" s="199">
        <f t="shared" si="88"/>
        <v>5.0000000000000001E-3</v>
      </c>
      <c r="S142" s="282" t="e">
        <f t="shared" si="79"/>
        <v>#DIV/0!</v>
      </c>
      <c r="T142" s="541" t="e">
        <f t="shared" si="80"/>
        <v>#DIV/0!</v>
      </c>
      <c r="U142" s="312">
        <f t="shared" si="81"/>
        <v>0.41820000000000002</v>
      </c>
      <c r="V142" s="458">
        <f t="shared" si="89"/>
        <v>7.5</v>
      </c>
      <c r="W142" s="319" t="e">
        <f t="shared" si="83"/>
        <v>#DIV/0!</v>
      </c>
      <c r="X142" s="467" t="e">
        <f t="shared" si="84"/>
        <v>#DIV/0!</v>
      </c>
      <c r="Y142" s="463" t="e">
        <f t="shared" si="85"/>
        <v>#DIV/0!</v>
      </c>
      <c r="Z142" s="316" t="e">
        <f t="shared" si="86"/>
        <v>#DIV/0!</v>
      </c>
    </row>
    <row r="143" spans="1:26" ht="12.9" customHeight="1">
      <c r="A143" s="116">
        <f t="shared" si="69"/>
        <v>1150</v>
      </c>
      <c r="B143" s="353">
        <v>23</v>
      </c>
      <c r="C143" s="4">
        <f>FORMAT_HAR_I!C27</f>
        <v>9.783E-2</v>
      </c>
      <c r="D143" s="361" t="e">
        <f>FORMAT_HAR_I!BZ27</f>
        <v>#DIV/0!</v>
      </c>
      <c r="E143" s="381" t="e">
        <f>FORMAT_HAR_I!CC27</f>
        <v>#DIV/0!</v>
      </c>
      <c r="F143" s="286" t="e">
        <f>0.01*FORMAT_HAR_I!AM27*C143*1000</f>
        <v>#DIV/0!</v>
      </c>
      <c r="G143" s="231" t="e">
        <f t="shared" si="70"/>
        <v>#DIV/0!</v>
      </c>
      <c r="H143" s="231">
        <f t="shared" si="90"/>
        <v>0.23913200000000004</v>
      </c>
      <c r="I143" s="276">
        <f t="shared" si="72"/>
        <v>0.23629964986291582</v>
      </c>
      <c r="J143" s="276"/>
      <c r="K143" s="199">
        <f t="shared" si="87"/>
        <v>5.0000000000000001E-3</v>
      </c>
      <c r="L143" s="282" t="e">
        <f t="shared" si="74"/>
        <v>#DIV/0!</v>
      </c>
      <c r="M143" s="286" t="e">
        <f>0.01*FORMAT_HAR_I!BW27*C143*1000</f>
        <v>#DIV/0!</v>
      </c>
      <c r="N143" s="231" t="e">
        <f t="shared" si="75"/>
        <v>#DIV/0!</v>
      </c>
      <c r="O143" s="231">
        <f t="shared" si="91"/>
        <v>0.23913200000000004</v>
      </c>
      <c r="P143" s="276">
        <f t="shared" si="77"/>
        <v>0.23629964986291582</v>
      </c>
      <c r="Q143" s="276"/>
      <c r="R143" s="199">
        <f t="shared" si="88"/>
        <v>5.0000000000000001E-3</v>
      </c>
      <c r="S143" s="282" t="e">
        <f t="shared" si="79"/>
        <v>#DIV/0!</v>
      </c>
      <c r="T143" s="541" t="e">
        <f t="shared" si="80"/>
        <v>#DIV/0!</v>
      </c>
      <c r="U143" s="312">
        <f t="shared" si="81"/>
        <v>0.48915000000000003</v>
      </c>
      <c r="V143" s="458">
        <f t="shared" si="89"/>
        <v>7.5</v>
      </c>
      <c r="W143" s="319" t="e">
        <f t="shared" si="83"/>
        <v>#DIV/0!</v>
      </c>
      <c r="X143" s="467" t="e">
        <f t="shared" si="84"/>
        <v>#DIV/0!</v>
      </c>
      <c r="Y143" s="463" t="e">
        <f t="shared" si="85"/>
        <v>#DIV/0!</v>
      </c>
      <c r="Z143" s="316" t="e">
        <f t="shared" si="86"/>
        <v>#DIV/0!</v>
      </c>
    </row>
    <row r="144" spans="1:26" ht="12.9" customHeight="1">
      <c r="A144" s="116">
        <f t="shared" si="69"/>
        <v>1200</v>
      </c>
      <c r="B144" s="353">
        <v>24</v>
      </c>
      <c r="C144" s="4">
        <f>FORMAT_HAR_I!C28</f>
        <v>7.6670000000000002E-2</v>
      </c>
      <c r="D144" s="361" t="e">
        <f>FORMAT_HAR_I!BZ28</f>
        <v>#DIV/0!</v>
      </c>
      <c r="E144" s="381" t="e">
        <f>FORMAT_HAR_I!CC28</f>
        <v>#DIV/0!</v>
      </c>
      <c r="F144" s="286" t="e">
        <f>0.01*FORMAT_HAR_I!AM28*C144*1000</f>
        <v>#DIV/0!</v>
      </c>
      <c r="G144" s="231" t="e">
        <f t="shared" si="70"/>
        <v>#DIV/0!</v>
      </c>
      <c r="H144" s="231">
        <f t="shared" si="90"/>
        <v>0.23066800000000001</v>
      </c>
      <c r="I144" s="276">
        <f t="shared" si="72"/>
        <v>0.18518955489103298</v>
      </c>
      <c r="J144" s="276"/>
      <c r="K144" s="199">
        <f t="shared" si="87"/>
        <v>5.0000000000000001E-3</v>
      </c>
      <c r="L144" s="282" t="e">
        <f t="shared" si="74"/>
        <v>#DIV/0!</v>
      </c>
      <c r="M144" s="286" t="e">
        <f>0.01*FORMAT_HAR_I!BW28*C144*1000</f>
        <v>#DIV/0!</v>
      </c>
      <c r="N144" s="231" t="e">
        <f t="shared" si="75"/>
        <v>#DIV/0!</v>
      </c>
      <c r="O144" s="231">
        <f t="shared" si="91"/>
        <v>0.23066800000000001</v>
      </c>
      <c r="P144" s="276">
        <f t="shared" si="77"/>
        <v>0.18518955489103298</v>
      </c>
      <c r="Q144" s="276"/>
      <c r="R144" s="199">
        <f t="shared" si="88"/>
        <v>5.0000000000000001E-3</v>
      </c>
      <c r="S144" s="282" t="e">
        <f t="shared" si="79"/>
        <v>#DIV/0!</v>
      </c>
      <c r="T144" s="541" t="e">
        <f t="shared" si="80"/>
        <v>#DIV/0!</v>
      </c>
      <c r="U144" s="312">
        <f t="shared" si="81"/>
        <v>0.38335000000000002</v>
      </c>
      <c r="V144" s="458">
        <f t="shared" si="89"/>
        <v>7.5</v>
      </c>
      <c r="W144" s="319" t="e">
        <f t="shared" si="83"/>
        <v>#DIV/0!</v>
      </c>
      <c r="X144" s="467" t="e">
        <f t="shared" si="84"/>
        <v>#DIV/0!</v>
      </c>
      <c r="Y144" s="463" t="e">
        <f t="shared" si="85"/>
        <v>#DIV/0!</v>
      </c>
      <c r="Z144" s="316" t="e">
        <f t="shared" si="86"/>
        <v>#DIV/0!</v>
      </c>
    </row>
    <row r="145" spans="1:26" ht="12.9" customHeight="1">
      <c r="A145" s="116">
        <f t="shared" si="69"/>
        <v>1250</v>
      </c>
      <c r="B145" s="353">
        <v>25</v>
      </c>
      <c r="C145" s="4">
        <f>FORMAT_HAR_I!C29</f>
        <v>0.09</v>
      </c>
      <c r="D145" s="361" t="e">
        <f>FORMAT_HAR_I!BZ29</f>
        <v>#DIV/0!</v>
      </c>
      <c r="E145" s="381" t="e">
        <f>FORMAT_HAR_I!CC29</f>
        <v>#DIV/0!</v>
      </c>
      <c r="F145" s="286" t="e">
        <f>0.01*FORMAT_HAR_I!AM29*C145*1000</f>
        <v>#DIV/0!</v>
      </c>
      <c r="G145" s="231" t="e">
        <f t="shared" si="70"/>
        <v>#DIV/0!</v>
      </c>
      <c r="H145" s="231">
        <f t="shared" si="90"/>
        <v>0.23600000000000002</v>
      </c>
      <c r="I145" s="276">
        <f t="shared" si="72"/>
        <v>0.21738698239458679</v>
      </c>
      <c r="J145" s="276"/>
      <c r="K145" s="199">
        <f t="shared" si="87"/>
        <v>5.0000000000000001E-3</v>
      </c>
      <c r="L145" s="282" t="e">
        <f t="shared" si="74"/>
        <v>#DIV/0!</v>
      </c>
      <c r="M145" s="286" t="e">
        <f>0.01*FORMAT_HAR_I!BW29*C145*1000</f>
        <v>#DIV/0!</v>
      </c>
      <c r="N145" s="231" t="e">
        <f t="shared" si="75"/>
        <v>#DIV/0!</v>
      </c>
      <c r="O145" s="231">
        <f t="shared" si="91"/>
        <v>0.23600000000000002</v>
      </c>
      <c r="P145" s="276">
        <f t="shared" si="77"/>
        <v>0.21738698239458679</v>
      </c>
      <c r="Q145" s="276"/>
      <c r="R145" s="199">
        <f t="shared" si="88"/>
        <v>5.0000000000000001E-3</v>
      </c>
      <c r="S145" s="282" t="e">
        <f t="shared" si="79"/>
        <v>#DIV/0!</v>
      </c>
      <c r="T145" s="541" t="e">
        <f t="shared" si="80"/>
        <v>#DIV/0!</v>
      </c>
      <c r="U145" s="312">
        <f t="shared" si="81"/>
        <v>0.45</v>
      </c>
      <c r="V145" s="458">
        <f t="shared" si="89"/>
        <v>7.5</v>
      </c>
      <c r="W145" s="319" t="e">
        <f t="shared" si="83"/>
        <v>#DIV/0!</v>
      </c>
      <c r="X145" s="467" t="e">
        <f t="shared" si="84"/>
        <v>#DIV/0!</v>
      </c>
      <c r="Y145" s="463" t="e">
        <f t="shared" si="85"/>
        <v>#DIV/0!</v>
      </c>
      <c r="Z145" s="316" t="e">
        <f t="shared" si="86"/>
        <v>#DIV/0!</v>
      </c>
    </row>
    <row r="146" spans="1:26" ht="12.9" customHeight="1">
      <c r="A146" s="116">
        <f t="shared" si="69"/>
        <v>1300</v>
      </c>
      <c r="B146" s="353">
        <v>26</v>
      </c>
      <c r="C146" s="4">
        <f>FORMAT_HAR_I!C30</f>
        <v>7.077E-2</v>
      </c>
      <c r="D146" s="361" t="e">
        <f>FORMAT_HAR_I!BZ30</f>
        <v>#DIV/0!</v>
      </c>
      <c r="E146" s="381" t="e">
        <f>FORMAT_HAR_I!CC30</f>
        <v>#DIV/0!</v>
      </c>
      <c r="F146" s="286" t="e">
        <f>0.01*FORMAT_HAR_I!AM30*C146*1000</f>
        <v>#DIV/0!</v>
      </c>
      <c r="G146" s="231" t="e">
        <f t="shared" si="70"/>
        <v>#DIV/0!</v>
      </c>
      <c r="H146" s="231">
        <f t="shared" si="90"/>
        <v>0.22830800000000001</v>
      </c>
      <c r="I146" s="276">
        <f t="shared" si="72"/>
        <v>0.17093863048961006</v>
      </c>
      <c r="J146" s="276"/>
      <c r="K146" s="199">
        <f t="shared" si="87"/>
        <v>5.0000000000000001E-3</v>
      </c>
      <c r="L146" s="282" t="e">
        <f t="shared" si="74"/>
        <v>#DIV/0!</v>
      </c>
      <c r="M146" s="286" t="e">
        <f>0.01*FORMAT_HAR_I!BW30*C146*1000</f>
        <v>#DIV/0!</v>
      </c>
      <c r="N146" s="231" t="e">
        <f t="shared" si="75"/>
        <v>#DIV/0!</v>
      </c>
      <c r="O146" s="231">
        <f t="shared" si="91"/>
        <v>0.22830800000000001</v>
      </c>
      <c r="P146" s="276">
        <f t="shared" si="77"/>
        <v>0.17093863048961006</v>
      </c>
      <c r="Q146" s="276"/>
      <c r="R146" s="199">
        <f t="shared" si="88"/>
        <v>5.0000000000000001E-3</v>
      </c>
      <c r="S146" s="282" t="e">
        <f t="shared" si="79"/>
        <v>#DIV/0!</v>
      </c>
      <c r="T146" s="541" t="e">
        <f t="shared" si="80"/>
        <v>#DIV/0!</v>
      </c>
      <c r="U146" s="312">
        <f t="shared" si="81"/>
        <v>0.35385</v>
      </c>
      <c r="V146" s="458">
        <f t="shared" si="89"/>
        <v>7.5</v>
      </c>
      <c r="W146" s="319" t="e">
        <f t="shared" si="83"/>
        <v>#DIV/0!</v>
      </c>
      <c r="X146" s="467" t="e">
        <f t="shared" si="84"/>
        <v>#DIV/0!</v>
      </c>
      <c r="Y146" s="463" t="e">
        <f t="shared" si="85"/>
        <v>#DIV/0!</v>
      </c>
      <c r="Z146" s="316" t="e">
        <f t="shared" si="86"/>
        <v>#DIV/0!</v>
      </c>
    </row>
    <row r="147" spans="1:26" ht="12.9" customHeight="1">
      <c r="A147" s="116">
        <f t="shared" si="69"/>
        <v>1350</v>
      </c>
      <c r="B147" s="353">
        <v>27</v>
      </c>
      <c r="C147" s="4">
        <f>FORMAT_HAR_I!C31</f>
        <v>8.3330000000000001E-2</v>
      </c>
      <c r="D147" s="361" t="e">
        <f>FORMAT_HAR_I!BZ31</f>
        <v>#DIV/0!</v>
      </c>
      <c r="E147" s="381" t="e">
        <f>FORMAT_HAR_I!CC31</f>
        <v>#DIV/0!</v>
      </c>
      <c r="F147" s="286" t="e">
        <f>0.01*FORMAT_HAR_I!AM31*C147*1000</f>
        <v>#DIV/0!</v>
      </c>
      <c r="G147" s="231" t="e">
        <f t="shared" si="70"/>
        <v>#DIV/0!</v>
      </c>
      <c r="H147" s="231">
        <f t="shared" si="90"/>
        <v>0.23333200000000001</v>
      </c>
      <c r="I147" s="276">
        <f t="shared" si="72"/>
        <v>0.2012761915882324</v>
      </c>
      <c r="J147" s="276"/>
      <c r="K147" s="199">
        <f t="shared" si="87"/>
        <v>5.0000000000000001E-3</v>
      </c>
      <c r="L147" s="282" t="e">
        <f t="shared" si="74"/>
        <v>#DIV/0!</v>
      </c>
      <c r="M147" s="286" t="e">
        <f>0.01*FORMAT_HAR_I!BW31*C147*1000</f>
        <v>#DIV/0!</v>
      </c>
      <c r="N147" s="231" t="e">
        <f t="shared" si="75"/>
        <v>#DIV/0!</v>
      </c>
      <c r="O147" s="231">
        <f t="shared" si="91"/>
        <v>0.23333200000000001</v>
      </c>
      <c r="P147" s="276">
        <f t="shared" si="77"/>
        <v>0.2012761915882324</v>
      </c>
      <c r="Q147" s="276"/>
      <c r="R147" s="199">
        <f t="shared" si="88"/>
        <v>5.0000000000000001E-3</v>
      </c>
      <c r="S147" s="282" t="e">
        <f t="shared" si="79"/>
        <v>#DIV/0!</v>
      </c>
      <c r="T147" s="541" t="e">
        <f t="shared" si="80"/>
        <v>#DIV/0!</v>
      </c>
      <c r="U147" s="312">
        <f t="shared" si="81"/>
        <v>0.41665000000000002</v>
      </c>
      <c r="V147" s="458">
        <f t="shared" si="89"/>
        <v>7.5</v>
      </c>
      <c r="W147" s="319" t="e">
        <f t="shared" si="83"/>
        <v>#DIV/0!</v>
      </c>
      <c r="X147" s="467" t="e">
        <f t="shared" si="84"/>
        <v>#DIV/0!</v>
      </c>
      <c r="Y147" s="463" t="e">
        <f t="shared" si="85"/>
        <v>#DIV/0!</v>
      </c>
      <c r="Z147" s="316" t="e">
        <f t="shared" si="86"/>
        <v>#DIV/0!</v>
      </c>
    </row>
    <row r="148" spans="1:26" ht="12.9" customHeight="1">
      <c r="A148" s="116">
        <f t="shared" si="69"/>
        <v>1400</v>
      </c>
      <c r="B148" s="353">
        <v>28</v>
      </c>
      <c r="C148" s="4">
        <f>FORMAT_HAR_I!C32</f>
        <v>6.5710000000000005E-2</v>
      </c>
      <c r="D148" s="361" t="e">
        <f>FORMAT_HAR_I!BZ32</f>
        <v>#DIV/0!</v>
      </c>
      <c r="E148" s="381" t="e">
        <f>FORMAT_HAR_I!CC32</f>
        <v>#DIV/0!</v>
      </c>
      <c r="F148" s="286" t="e">
        <f>0.01*FORMAT_HAR_I!AM32*C148*1000</f>
        <v>#DIV/0!</v>
      </c>
      <c r="G148" s="231" t="e">
        <f t="shared" si="70"/>
        <v>#DIV/0!</v>
      </c>
      <c r="H148" s="231">
        <f t="shared" si="90"/>
        <v>0.22628400000000001</v>
      </c>
      <c r="I148" s="276">
        <f t="shared" si="72"/>
        <v>0.15871665125720333</v>
      </c>
      <c r="J148" s="276"/>
      <c r="K148" s="199">
        <f t="shared" si="87"/>
        <v>5.0000000000000001E-3</v>
      </c>
      <c r="L148" s="282" t="e">
        <f t="shared" si="74"/>
        <v>#DIV/0!</v>
      </c>
      <c r="M148" s="286" t="e">
        <f>0.01*FORMAT_HAR_I!BW32*C148*1000</f>
        <v>#DIV/0!</v>
      </c>
      <c r="N148" s="231" t="e">
        <f t="shared" si="75"/>
        <v>#DIV/0!</v>
      </c>
      <c r="O148" s="231">
        <f t="shared" si="91"/>
        <v>0.22628400000000001</v>
      </c>
      <c r="P148" s="276">
        <f t="shared" si="77"/>
        <v>0.15871665125720333</v>
      </c>
      <c r="Q148" s="276"/>
      <c r="R148" s="199">
        <f t="shared" si="88"/>
        <v>5.0000000000000001E-3</v>
      </c>
      <c r="S148" s="282" t="e">
        <f t="shared" si="79"/>
        <v>#DIV/0!</v>
      </c>
      <c r="T148" s="541" t="e">
        <f t="shared" si="80"/>
        <v>#DIV/0!</v>
      </c>
      <c r="U148" s="312">
        <f t="shared" si="81"/>
        <v>0.32855000000000006</v>
      </c>
      <c r="V148" s="458">
        <f t="shared" si="89"/>
        <v>7.5</v>
      </c>
      <c r="W148" s="319" t="e">
        <f t="shared" si="83"/>
        <v>#DIV/0!</v>
      </c>
      <c r="X148" s="467" t="e">
        <f t="shared" si="84"/>
        <v>#DIV/0!</v>
      </c>
      <c r="Y148" s="463" t="e">
        <f t="shared" si="85"/>
        <v>#DIV/0!</v>
      </c>
      <c r="Z148" s="316" t="e">
        <f t="shared" si="86"/>
        <v>#DIV/0!</v>
      </c>
    </row>
    <row r="149" spans="1:26" ht="12.9" customHeight="1">
      <c r="A149" s="116">
        <f t="shared" si="69"/>
        <v>1450</v>
      </c>
      <c r="B149" s="353">
        <v>29</v>
      </c>
      <c r="C149" s="4">
        <f>FORMAT_HAR_I!C33</f>
        <v>7.7590000000000006E-2</v>
      </c>
      <c r="D149" s="361" t="e">
        <f>FORMAT_HAR_I!BZ33</f>
        <v>#DIV/0!</v>
      </c>
      <c r="E149" s="381" t="e">
        <f>FORMAT_HAR_I!CC33</f>
        <v>#DIV/0!</v>
      </c>
      <c r="F149" s="286" t="e">
        <f>0.01*FORMAT_HAR_I!AM33*C149*1000</f>
        <v>#DIV/0!</v>
      </c>
      <c r="G149" s="231" t="e">
        <f t="shared" si="70"/>
        <v>#DIV/0!</v>
      </c>
      <c r="H149" s="231">
        <f t="shared" si="90"/>
        <v>0.23103599999999999</v>
      </c>
      <c r="I149" s="276">
        <f t="shared" si="72"/>
        <v>0.18741173293328878</v>
      </c>
      <c r="J149" s="276"/>
      <c r="K149" s="199">
        <f t="shared" si="87"/>
        <v>5.0000000000000001E-3</v>
      </c>
      <c r="L149" s="282" t="e">
        <f t="shared" si="74"/>
        <v>#DIV/0!</v>
      </c>
      <c r="M149" s="286" t="e">
        <f>0.01*FORMAT_HAR_I!BW33*C149*1000</f>
        <v>#DIV/0!</v>
      </c>
      <c r="N149" s="231" t="e">
        <f t="shared" si="75"/>
        <v>#DIV/0!</v>
      </c>
      <c r="O149" s="231">
        <f t="shared" si="91"/>
        <v>0.23103599999999999</v>
      </c>
      <c r="P149" s="276">
        <f t="shared" si="77"/>
        <v>0.18741173293328878</v>
      </c>
      <c r="Q149" s="276"/>
      <c r="R149" s="199">
        <f t="shared" si="88"/>
        <v>5.0000000000000001E-3</v>
      </c>
      <c r="S149" s="282" t="e">
        <f t="shared" si="79"/>
        <v>#DIV/0!</v>
      </c>
      <c r="T149" s="541" t="e">
        <f t="shared" si="80"/>
        <v>#DIV/0!</v>
      </c>
      <c r="U149" s="312">
        <f t="shared" si="81"/>
        <v>0.38795000000000002</v>
      </c>
      <c r="V149" s="458">
        <f t="shared" si="89"/>
        <v>7.5</v>
      </c>
      <c r="W149" s="319" t="e">
        <f t="shared" si="83"/>
        <v>#DIV/0!</v>
      </c>
      <c r="X149" s="467" t="e">
        <f t="shared" si="84"/>
        <v>#DIV/0!</v>
      </c>
      <c r="Y149" s="463" t="e">
        <f t="shared" si="85"/>
        <v>#DIV/0!</v>
      </c>
      <c r="Z149" s="316" t="e">
        <f t="shared" si="86"/>
        <v>#DIV/0!</v>
      </c>
    </row>
    <row r="150" spans="1:26" ht="12.9" customHeight="1">
      <c r="A150" s="116">
        <f t="shared" si="69"/>
        <v>1500</v>
      </c>
      <c r="B150" s="353">
        <v>30</v>
      </c>
      <c r="C150" s="4">
        <f>FORMAT_HAR_I!C34</f>
        <v>6.1330000000000003E-2</v>
      </c>
      <c r="D150" s="361" t="e">
        <f>FORMAT_HAR_I!BZ34</f>
        <v>#DIV/0!</v>
      </c>
      <c r="E150" s="381" t="e">
        <f>FORMAT_HAR_I!CC34</f>
        <v>#DIV/0!</v>
      </c>
      <c r="F150" s="286" t="e">
        <f>0.01*FORMAT_HAR_I!AM34*C150*1000</f>
        <v>#DIV/0!</v>
      </c>
      <c r="G150" s="231" t="e">
        <f t="shared" si="70"/>
        <v>#DIV/0!</v>
      </c>
      <c r="H150" s="231">
        <f t="shared" si="90"/>
        <v>0.22453200000000001</v>
      </c>
      <c r="I150" s="276">
        <f t="shared" si="72"/>
        <v>0.14813715144733344</v>
      </c>
      <c r="J150" s="276"/>
      <c r="K150" s="199">
        <f t="shared" si="87"/>
        <v>5.0000000000000001E-3</v>
      </c>
      <c r="L150" s="282" t="e">
        <f t="shared" si="74"/>
        <v>#DIV/0!</v>
      </c>
      <c r="M150" s="286" t="e">
        <f>0.01*FORMAT_HAR_I!BW34*C150*1000</f>
        <v>#DIV/0!</v>
      </c>
      <c r="N150" s="231" t="e">
        <f t="shared" si="75"/>
        <v>#DIV/0!</v>
      </c>
      <c r="O150" s="231">
        <f t="shared" si="91"/>
        <v>0.22453200000000001</v>
      </c>
      <c r="P150" s="276">
        <f t="shared" si="77"/>
        <v>0.14813715144733344</v>
      </c>
      <c r="Q150" s="276"/>
      <c r="R150" s="199">
        <f t="shared" si="88"/>
        <v>5.0000000000000001E-3</v>
      </c>
      <c r="S150" s="282" t="e">
        <f t="shared" si="79"/>
        <v>#DIV/0!</v>
      </c>
      <c r="T150" s="541" t="e">
        <f t="shared" si="80"/>
        <v>#DIV/0!</v>
      </c>
      <c r="U150" s="312">
        <f t="shared" si="81"/>
        <v>0.30664999999999998</v>
      </c>
      <c r="V150" s="458">
        <f t="shared" si="89"/>
        <v>7.5</v>
      </c>
      <c r="W150" s="319" t="e">
        <f t="shared" si="83"/>
        <v>#DIV/0!</v>
      </c>
      <c r="X150" s="467" t="e">
        <f t="shared" si="84"/>
        <v>#DIV/0!</v>
      </c>
      <c r="Y150" s="463" t="e">
        <f t="shared" si="85"/>
        <v>#DIV/0!</v>
      </c>
      <c r="Z150" s="316" t="e">
        <f t="shared" si="86"/>
        <v>#DIV/0!</v>
      </c>
    </row>
    <row r="151" spans="1:26" ht="12.9" customHeight="1">
      <c r="A151" s="116">
        <f t="shared" si="69"/>
        <v>1550</v>
      </c>
      <c r="B151" s="353">
        <v>31</v>
      </c>
      <c r="C151" s="4">
        <f>FORMAT_HAR_I!C35</f>
        <v>7.2580000000000006E-2</v>
      </c>
      <c r="D151" s="361" t="e">
        <f>FORMAT_HAR_I!BZ35</f>
        <v>#DIV/0!</v>
      </c>
      <c r="E151" s="381" t="e">
        <f>FORMAT_HAR_I!CC35</f>
        <v>#DIV/0!</v>
      </c>
      <c r="F151" s="286" t="e">
        <f>0.01*FORMAT_HAR_I!AM35*C151*1000</f>
        <v>#DIV/0!</v>
      </c>
      <c r="G151" s="231" t="e">
        <f t="shared" si="70"/>
        <v>#DIV/0!</v>
      </c>
      <c r="H151" s="231">
        <f t="shared" si="90"/>
        <v>0.22903199999999999</v>
      </c>
      <c r="I151" s="276">
        <f t="shared" si="72"/>
        <v>0.1753105242466568</v>
      </c>
      <c r="J151" s="276"/>
      <c r="K151" s="199">
        <f t="shared" si="87"/>
        <v>5.0000000000000001E-3</v>
      </c>
      <c r="L151" s="282" t="e">
        <f t="shared" si="74"/>
        <v>#DIV/0!</v>
      </c>
      <c r="M151" s="286" t="e">
        <f>0.01*FORMAT_HAR_I!BW35*C151*1000</f>
        <v>#DIV/0!</v>
      </c>
      <c r="N151" s="231" t="e">
        <f t="shared" si="75"/>
        <v>#DIV/0!</v>
      </c>
      <c r="O151" s="231">
        <f t="shared" si="91"/>
        <v>0.22903199999999999</v>
      </c>
      <c r="P151" s="276">
        <f t="shared" si="77"/>
        <v>0.1753105242466568</v>
      </c>
      <c r="Q151" s="276"/>
      <c r="R151" s="199">
        <f t="shared" si="88"/>
        <v>5.0000000000000001E-3</v>
      </c>
      <c r="S151" s="282" t="e">
        <f t="shared" si="79"/>
        <v>#DIV/0!</v>
      </c>
      <c r="T151" s="541" t="e">
        <f t="shared" si="80"/>
        <v>#DIV/0!</v>
      </c>
      <c r="U151" s="312">
        <f t="shared" si="81"/>
        <v>0.36290000000000006</v>
      </c>
      <c r="V151" s="458">
        <f t="shared" si="89"/>
        <v>7.5</v>
      </c>
      <c r="W151" s="319" t="e">
        <f t="shared" si="83"/>
        <v>#DIV/0!</v>
      </c>
      <c r="X151" s="467" t="e">
        <f t="shared" si="84"/>
        <v>#DIV/0!</v>
      </c>
      <c r="Y151" s="463" t="e">
        <f t="shared" si="85"/>
        <v>#DIV/0!</v>
      </c>
      <c r="Z151" s="316" t="e">
        <f t="shared" si="86"/>
        <v>#DIV/0!</v>
      </c>
    </row>
    <row r="152" spans="1:26" ht="12.9" customHeight="1">
      <c r="A152" s="116">
        <f t="shared" si="69"/>
        <v>1600</v>
      </c>
      <c r="B152" s="353">
        <v>32</v>
      </c>
      <c r="C152" s="4">
        <f>FORMAT_HAR_I!C36</f>
        <v>5.7500000000000002E-2</v>
      </c>
      <c r="D152" s="361" t="e">
        <f>FORMAT_HAR_I!BZ36</f>
        <v>#DIV/0!</v>
      </c>
      <c r="E152" s="381" t="e">
        <f>FORMAT_HAR_I!CC36</f>
        <v>#DIV/0!</v>
      </c>
      <c r="F152" s="286" t="e">
        <f>0.01*FORMAT_HAR_I!AM36*C152*1000</f>
        <v>#DIV/0!</v>
      </c>
      <c r="G152" s="231" t="e">
        <f t="shared" si="70"/>
        <v>#DIV/0!</v>
      </c>
      <c r="H152" s="231">
        <f t="shared" si="90"/>
        <v>0.223</v>
      </c>
      <c r="I152" s="276">
        <f t="shared" si="72"/>
        <v>0.13888612764098601</v>
      </c>
      <c r="J152" s="276"/>
      <c r="K152" s="199">
        <f t="shared" si="87"/>
        <v>5.0000000000000001E-3</v>
      </c>
      <c r="L152" s="282" t="e">
        <f t="shared" si="74"/>
        <v>#DIV/0!</v>
      </c>
      <c r="M152" s="286" t="e">
        <f>0.01*FORMAT_HAR_I!BW36*C152*1000</f>
        <v>#DIV/0!</v>
      </c>
      <c r="N152" s="231" t="e">
        <f t="shared" si="75"/>
        <v>#DIV/0!</v>
      </c>
      <c r="O152" s="231">
        <f t="shared" si="91"/>
        <v>0.223</v>
      </c>
      <c r="P152" s="276">
        <f t="shared" si="77"/>
        <v>0.13888612764098601</v>
      </c>
      <c r="Q152" s="276"/>
      <c r="R152" s="199">
        <f t="shared" si="88"/>
        <v>5.0000000000000001E-3</v>
      </c>
      <c r="S152" s="282" t="e">
        <f t="shared" si="79"/>
        <v>#DIV/0!</v>
      </c>
      <c r="T152" s="541" t="e">
        <f t="shared" si="80"/>
        <v>#DIV/0!</v>
      </c>
      <c r="U152" s="312">
        <f t="shared" si="81"/>
        <v>0.28749999999999998</v>
      </c>
      <c r="V152" s="458">
        <f t="shared" si="89"/>
        <v>7.5</v>
      </c>
      <c r="W152" s="319" t="e">
        <f t="shared" si="83"/>
        <v>#DIV/0!</v>
      </c>
      <c r="X152" s="467" t="e">
        <f t="shared" si="84"/>
        <v>#DIV/0!</v>
      </c>
      <c r="Y152" s="463" t="e">
        <f t="shared" si="85"/>
        <v>#DIV/0!</v>
      </c>
      <c r="Z152" s="316" t="e">
        <f t="shared" si="86"/>
        <v>#DIV/0!</v>
      </c>
    </row>
    <row r="153" spans="1:26" ht="12.9" customHeight="1">
      <c r="A153" s="116">
        <f t="shared" si="69"/>
        <v>1650</v>
      </c>
      <c r="B153" s="353">
        <v>33</v>
      </c>
      <c r="C153" s="4">
        <f>FORMAT_HAR_I!C37</f>
        <v>6.8180000000000004E-2</v>
      </c>
      <c r="D153" s="361" t="e">
        <f>FORMAT_HAR_I!BZ37</f>
        <v>#DIV/0!</v>
      </c>
      <c r="E153" s="381" t="e">
        <f>FORMAT_HAR_I!CC37</f>
        <v>#DIV/0!</v>
      </c>
      <c r="F153" s="286" t="e">
        <f>0.01*FORMAT_HAR_I!AM37*C153*1000</f>
        <v>#DIV/0!</v>
      </c>
      <c r="G153" s="231" t="e">
        <f t="shared" si="70"/>
        <v>#DIV/0!</v>
      </c>
      <c r="H153" s="231">
        <f t="shared" si="90"/>
        <v>0.227272</v>
      </c>
      <c r="I153" s="276">
        <f t="shared" si="72"/>
        <v>0.16468271621847699</v>
      </c>
      <c r="J153" s="276"/>
      <c r="K153" s="199">
        <f t="shared" si="87"/>
        <v>5.0000000000000001E-3</v>
      </c>
      <c r="L153" s="282" t="e">
        <f t="shared" si="74"/>
        <v>#DIV/0!</v>
      </c>
      <c r="M153" s="286" t="e">
        <f>0.01*FORMAT_HAR_I!BW37*C153*1000</f>
        <v>#DIV/0!</v>
      </c>
      <c r="N153" s="231" t="e">
        <f t="shared" si="75"/>
        <v>#DIV/0!</v>
      </c>
      <c r="O153" s="231">
        <f t="shared" si="91"/>
        <v>0.227272</v>
      </c>
      <c r="P153" s="276">
        <f t="shared" si="77"/>
        <v>0.16468271621847699</v>
      </c>
      <c r="Q153" s="276"/>
      <c r="R153" s="199">
        <f t="shared" si="88"/>
        <v>5.0000000000000001E-3</v>
      </c>
      <c r="S153" s="282" t="e">
        <f t="shared" si="79"/>
        <v>#DIV/0!</v>
      </c>
      <c r="T153" s="541" t="e">
        <f t="shared" si="80"/>
        <v>#DIV/0!</v>
      </c>
      <c r="U153" s="312">
        <f t="shared" si="81"/>
        <v>0.34090000000000004</v>
      </c>
      <c r="V153" s="458">
        <f t="shared" si="89"/>
        <v>7.5</v>
      </c>
      <c r="W153" s="319" t="e">
        <f t="shared" si="83"/>
        <v>#DIV/0!</v>
      </c>
      <c r="X153" s="467" t="e">
        <f t="shared" si="84"/>
        <v>#DIV/0!</v>
      </c>
      <c r="Y153" s="463" t="e">
        <f t="shared" si="85"/>
        <v>#DIV/0!</v>
      </c>
      <c r="Z153" s="316" t="e">
        <f t="shared" si="86"/>
        <v>#DIV/0!</v>
      </c>
    </row>
    <row r="154" spans="1:26" ht="12.9" customHeight="1">
      <c r="A154" s="116">
        <f t="shared" si="69"/>
        <v>1700</v>
      </c>
      <c r="B154" s="353">
        <v>34</v>
      </c>
      <c r="C154" s="4">
        <f>FORMAT_HAR_I!C38</f>
        <v>5.4120000000000001E-2</v>
      </c>
      <c r="D154" s="361" t="e">
        <f>FORMAT_HAR_I!BZ38</f>
        <v>#DIV/0!</v>
      </c>
      <c r="E154" s="381" t="e">
        <f>FORMAT_HAR_I!CC38</f>
        <v>#DIV/0!</v>
      </c>
      <c r="F154" s="286" t="e">
        <f>0.01*FORMAT_HAR_I!AM38*C154*1000</f>
        <v>#DIV/0!</v>
      </c>
      <c r="G154" s="231" t="e">
        <f t="shared" si="70"/>
        <v>#DIV/0!</v>
      </c>
      <c r="H154" s="231">
        <f t="shared" si="90"/>
        <v>0.22164800000000001</v>
      </c>
      <c r="I154" s="276">
        <f t="shared" si="72"/>
        <v>0.13072203874661154</v>
      </c>
      <c r="J154" s="276"/>
      <c r="K154" s="199">
        <f t="shared" si="87"/>
        <v>5.0000000000000001E-3</v>
      </c>
      <c r="L154" s="282" t="e">
        <f t="shared" si="74"/>
        <v>#DIV/0!</v>
      </c>
      <c r="M154" s="286" t="e">
        <f>0.01*FORMAT_HAR_I!BW38*C154*1000</f>
        <v>#DIV/0!</v>
      </c>
      <c r="N154" s="231" t="e">
        <f t="shared" si="75"/>
        <v>#DIV/0!</v>
      </c>
      <c r="O154" s="231">
        <f t="shared" si="91"/>
        <v>0.22164800000000001</v>
      </c>
      <c r="P154" s="276">
        <f t="shared" si="77"/>
        <v>0.13072203874661154</v>
      </c>
      <c r="Q154" s="276"/>
      <c r="R154" s="199">
        <f t="shared" si="88"/>
        <v>5.0000000000000001E-3</v>
      </c>
      <c r="S154" s="282" t="e">
        <f t="shared" si="79"/>
        <v>#DIV/0!</v>
      </c>
      <c r="T154" s="541" t="e">
        <f t="shared" si="80"/>
        <v>#DIV/0!</v>
      </c>
      <c r="U154" s="312">
        <f t="shared" si="81"/>
        <v>0.27060000000000001</v>
      </c>
      <c r="V154" s="458">
        <f t="shared" si="89"/>
        <v>7.5</v>
      </c>
      <c r="W154" s="319" t="e">
        <f t="shared" si="83"/>
        <v>#DIV/0!</v>
      </c>
      <c r="X154" s="467" t="e">
        <f t="shared" si="84"/>
        <v>#DIV/0!</v>
      </c>
      <c r="Y154" s="463" t="e">
        <f t="shared" si="85"/>
        <v>#DIV/0!</v>
      </c>
      <c r="Z154" s="316" t="e">
        <f t="shared" si="86"/>
        <v>#DIV/0!</v>
      </c>
    </row>
    <row r="155" spans="1:26" ht="12.9" customHeight="1">
      <c r="A155" s="116">
        <f t="shared" si="69"/>
        <v>1750</v>
      </c>
      <c r="B155" s="353">
        <v>35</v>
      </c>
      <c r="C155" s="4">
        <f>FORMAT_HAR_I!C39</f>
        <v>6.429E-2</v>
      </c>
      <c r="D155" s="361" t="e">
        <f>FORMAT_HAR_I!BZ39</f>
        <v>#DIV/0!</v>
      </c>
      <c r="E155" s="381" t="e">
        <f>FORMAT_HAR_I!CC39</f>
        <v>#DIV/0!</v>
      </c>
      <c r="F155" s="286" t="e">
        <f>0.01*FORMAT_HAR_I!AM39*C155*1000</f>
        <v>#DIV/0!</v>
      </c>
      <c r="G155" s="231" t="e">
        <f t="shared" si="70"/>
        <v>#DIV/0!</v>
      </c>
      <c r="H155" s="231">
        <f t="shared" si="90"/>
        <v>0.22571600000000003</v>
      </c>
      <c r="I155" s="276">
        <f t="shared" si="72"/>
        <v>0.15528676775719982</v>
      </c>
      <c r="J155" s="276"/>
      <c r="K155" s="199">
        <f t="shared" si="87"/>
        <v>5.0000000000000001E-3</v>
      </c>
      <c r="L155" s="282" t="e">
        <f t="shared" si="74"/>
        <v>#DIV/0!</v>
      </c>
      <c r="M155" s="286" t="e">
        <f>0.01*FORMAT_HAR_I!BW39*C155*1000</f>
        <v>#DIV/0!</v>
      </c>
      <c r="N155" s="231" t="e">
        <f t="shared" si="75"/>
        <v>#DIV/0!</v>
      </c>
      <c r="O155" s="231">
        <f t="shared" si="91"/>
        <v>0.22571600000000003</v>
      </c>
      <c r="P155" s="276">
        <f t="shared" si="77"/>
        <v>0.15528676775719982</v>
      </c>
      <c r="Q155" s="276"/>
      <c r="R155" s="199">
        <f t="shared" si="88"/>
        <v>5.0000000000000001E-3</v>
      </c>
      <c r="S155" s="282" t="e">
        <f t="shared" si="79"/>
        <v>#DIV/0!</v>
      </c>
      <c r="T155" s="541" t="e">
        <f t="shared" si="80"/>
        <v>#DIV/0!</v>
      </c>
      <c r="U155" s="312">
        <f t="shared" si="81"/>
        <v>0.32144999999999996</v>
      </c>
      <c r="V155" s="458">
        <f t="shared" si="89"/>
        <v>7.5</v>
      </c>
      <c r="W155" s="319" t="e">
        <f t="shared" si="83"/>
        <v>#DIV/0!</v>
      </c>
      <c r="X155" s="467" t="e">
        <f t="shared" si="84"/>
        <v>#DIV/0!</v>
      </c>
      <c r="Y155" s="463" t="e">
        <f t="shared" si="85"/>
        <v>#DIV/0!</v>
      </c>
      <c r="Z155" s="316" t="e">
        <f t="shared" si="86"/>
        <v>#DIV/0!</v>
      </c>
    </row>
    <row r="156" spans="1:26" ht="12.9" customHeight="1">
      <c r="A156" s="116">
        <f t="shared" si="69"/>
        <v>1800</v>
      </c>
      <c r="B156" s="353">
        <v>36</v>
      </c>
      <c r="C156" s="4">
        <f>FORMAT_HAR_I!C40</f>
        <v>5.1110000000000003E-2</v>
      </c>
      <c r="D156" s="361" t="e">
        <f>FORMAT_HAR_I!BZ40</f>
        <v>#DIV/0!</v>
      </c>
      <c r="E156" s="381" t="e">
        <f>FORMAT_HAR_I!CC40</f>
        <v>#DIV/0!</v>
      </c>
      <c r="F156" s="286" t="e">
        <f>0.01*FORMAT_HAR_I!AM40*C156*1000</f>
        <v>#DIV/0!</v>
      </c>
      <c r="G156" s="231" t="e">
        <f t="shared" si="70"/>
        <v>#DIV/0!</v>
      </c>
      <c r="H156" s="231">
        <f t="shared" si="90"/>
        <v>0.220444</v>
      </c>
      <c r="I156" s="276">
        <f t="shared" si="72"/>
        <v>0.12345165189097035</v>
      </c>
      <c r="J156" s="276"/>
      <c r="K156" s="199">
        <f t="shared" si="87"/>
        <v>5.0000000000000001E-3</v>
      </c>
      <c r="L156" s="282" t="e">
        <f t="shared" si="74"/>
        <v>#DIV/0!</v>
      </c>
      <c r="M156" s="286" t="e">
        <f>0.01*FORMAT_HAR_I!BW40*C156*1000</f>
        <v>#DIV/0!</v>
      </c>
      <c r="N156" s="231" t="e">
        <f t="shared" si="75"/>
        <v>#DIV/0!</v>
      </c>
      <c r="O156" s="231">
        <f t="shared" si="91"/>
        <v>0.220444</v>
      </c>
      <c r="P156" s="276">
        <f t="shared" si="77"/>
        <v>0.12345165189097035</v>
      </c>
      <c r="Q156" s="276"/>
      <c r="R156" s="199">
        <f t="shared" si="88"/>
        <v>5.0000000000000001E-3</v>
      </c>
      <c r="S156" s="282" t="e">
        <f t="shared" si="79"/>
        <v>#DIV/0!</v>
      </c>
      <c r="T156" s="541" t="e">
        <f t="shared" si="80"/>
        <v>#DIV/0!</v>
      </c>
      <c r="U156" s="312">
        <f t="shared" si="81"/>
        <v>0.25555</v>
      </c>
      <c r="V156" s="459">
        <f t="shared" si="89"/>
        <v>7.5</v>
      </c>
      <c r="W156" s="319" t="e">
        <f t="shared" si="83"/>
        <v>#DIV/0!</v>
      </c>
      <c r="X156" s="467" t="e">
        <f t="shared" si="84"/>
        <v>#DIV/0!</v>
      </c>
      <c r="Y156" s="463" t="e">
        <f t="shared" si="85"/>
        <v>#DIV/0!</v>
      </c>
      <c r="Z156" s="316" t="e">
        <f t="shared" si="86"/>
        <v>#DIV/0!</v>
      </c>
    </row>
    <row r="157" spans="1:26" ht="12.9" customHeight="1">
      <c r="A157" s="116">
        <f t="shared" si="69"/>
        <v>1850</v>
      </c>
      <c r="B157" s="353">
        <v>37</v>
      </c>
      <c r="C157" s="4">
        <f>FORMAT_HAR_I!C41</f>
        <v>6.0810000000000003E-2</v>
      </c>
      <c r="D157" s="361" t="e">
        <f>FORMAT_HAR_I!BZ41</f>
        <v>#DIV/0!</v>
      </c>
      <c r="E157" s="381" t="e">
        <f>FORMAT_HAR_I!CC41</f>
        <v>#DIV/0!</v>
      </c>
      <c r="F157" s="286" t="e">
        <f>0.01*FORMAT_HAR_I!AM41*C157*1000</f>
        <v>#DIV/0!</v>
      </c>
      <c r="G157" s="231" t="e">
        <f t="shared" si="70"/>
        <v>#DIV/0!</v>
      </c>
      <c r="H157" s="231">
        <f t="shared" si="90"/>
        <v>0.224324</v>
      </c>
      <c r="I157" s="276">
        <f t="shared" si="72"/>
        <v>0.14688113777127582</v>
      </c>
      <c r="J157" s="276"/>
      <c r="K157" s="199">
        <f t="shared" si="87"/>
        <v>5.0000000000000001E-3</v>
      </c>
      <c r="L157" s="282" t="e">
        <f t="shared" si="74"/>
        <v>#DIV/0!</v>
      </c>
      <c r="M157" s="286" t="e">
        <f>0.01*FORMAT_HAR_I!BW41*C157*1000</f>
        <v>#DIV/0!</v>
      </c>
      <c r="N157" s="231" t="e">
        <f t="shared" si="75"/>
        <v>#DIV/0!</v>
      </c>
      <c r="O157" s="231">
        <f t="shared" si="91"/>
        <v>0.224324</v>
      </c>
      <c r="P157" s="276">
        <f t="shared" si="77"/>
        <v>0.14688113777127582</v>
      </c>
      <c r="Q157" s="276"/>
      <c r="R157" s="199">
        <f t="shared" si="88"/>
        <v>5.0000000000000001E-3</v>
      </c>
      <c r="S157" s="282" t="e">
        <f t="shared" si="79"/>
        <v>#DIV/0!</v>
      </c>
      <c r="T157" s="541" t="e">
        <f t="shared" si="80"/>
        <v>#DIV/0!</v>
      </c>
      <c r="U157" s="312">
        <f t="shared" si="81"/>
        <v>0.30405000000000004</v>
      </c>
      <c r="V157" s="459">
        <f t="shared" si="89"/>
        <v>7.5</v>
      </c>
      <c r="W157" s="319" t="e">
        <f t="shared" si="83"/>
        <v>#DIV/0!</v>
      </c>
      <c r="X157" s="467" t="e">
        <f t="shared" si="84"/>
        <v>#DIV/0!</v>
      </c>
      <c r="Y157" s="463" t="e">
        <f t="shared" si="85"/>
        <v>#DIV/0!</v>
      </c>
      <c r="Z157" s="316" t="e">
        <f t="shared" si="86"/>
        <v>#DIV/0!</v>
      </c>
    </row>
    <row r="158" spans="1:26" ht="12.9" customHeight="1">
      <c r="A158" s="116">
        <f t="shared" si="69"/>
        <v>1900</v>
      </c>
      <c r="B158" s="353">
        <v>38</v>
      </c>
      <c r="C158" s="4">
        <f>FORMAT_HAR_I!C42</f>
        <v>4.8419999999999998E-2</v>
      </c>
      <c r="D158" s="361" t="e">
        <f>FORMAT_HAR_I!BZ42</f>
        <v>#DIV/0!</v>
      </c>
      <c r="E158" s="381" t="e">
        <f>FORMAT_HAR_I!CC42</f>
        <v>#DIV/0!</v>
      </c>
      <c r="F158" s="286" t="e">
        <f>0.01*FORMAT_HAR_I!AM42*C158*1000</f>
        <v>#DIV/0!</v>
      </c>
      <c r="G158" s="231" t="e">
        <f t="shared" si="70"/>
        <v>#DIV/0!</v>
      </c>
      <c r="H158" s="231">
        <f t="shared" si="90"/>
        <v>0.21936800000000001</v>
      </c>
      <c r="I158" s="276">
        <f t="shared" si="72"/>
        <v>0.11695419652828769</v>
      </c>
      <c r="J158" s="276"/>
      <c r="K158" s="199">
        <f t="shared" si="87"/>
        <v>5.0000000000000001E-3</v>
      </c>
      <c r="L158" s="282" t="e">
        <f t="shared" si="74"/>
        <v>#DIV/0!</v>
      </c>
      <c r="M158" s="286" t="e">
        <f>0.01*FORMAT_HAR_I!BW42*C158*1000</f>
        <v>#DIV/0!</v>
      </c>
      <c r="N158" s="231" t="e">
        <f t="shared" si="75"/>
        <v>#DIV/0!</v>
      </c>
      <c r="O158" s="231">
        <f t="shared" si="91"/>
        <v>0.21936800000000001</v>
      </c>
      <c r="P158" s="276">
        <f t="shared" si="77"/>
        <v>0.11695419652828769</v>
      </c>
      <c r="Q158" s="276"/>
      <c r="R158" s="199">
        <f t="shared" si="88"/>
        <v>5.0000000000000001E-3</v>
      </c>
      <c r="S158" s="282" t="e">
        <f t="shared" si="79"/>
        <v>#DIV/0!</v>
      </c>
      <c r="T158" s="541" t="e">
        <f t="shared" si="80"/>
        <v>#DIV/0!</v>
      </c>
      <c r="U158" s="312">
        <f t="shared" si="81"/>
        <v>0.24210000000000001</v>
      </c>
      <c r="V158" s="459">
        <f t="shared" si="89"/>
        <v>7.5</v>
      </c>
      <c r="W158" s="319" t="e">
        <f t="shared" si="83"/>
        <v>#DIV/0!</v>
      </c>
      <c r="X158" s="467" t="e">
        <f t="shared" si="84"/>
        <v>#DIV/0!</v>
      </c>
      <c r="Y158" s="463" t="e">
        <f t="shared" si="85"/>
        <v>#DIV/0!</v>
      </c>
      <c r="Z158" s="316" t="e">
        <f t="shared" si="86"/>
        <v>#DIV/0!</v>
      </c>
    </row>
    <row r="159" spans="1:26" ht="12.9" customHeight="1">
      <c r="A159" s="116">
        <f t="shared" si="69"/>
        <v>1950</v>
      </c>
      <c r="B159" s="353">
        <v>39</v>
      </c>
      <c r="C159" s="4">
        <f>FORMAT_HAR_I!C43</f>
        <v>5.7689999999999998E-2</v>
      </c>
      <c r="D159" s="361" t="e">
        <f>FORMAT_HAR_I!BZ43</f>
        <v>#DIV/0!</v>
      </c>
      <c r="E159" s="381" t="e">
        <f>FORMAT_HAR_I!CC43</f>
        <v>#DIV/0!</v>
      </c>
      <c r="F159" s="286" t="e">
        <f>0.01*FORMAT_HAR_I!AM43*C159*1000</f>
        <v>#DIV/0!</v>
      </c>
      <c r="G159" s="231" t="e">
        <f t="shared" si="70"/>
        <v>#DIV/0!</v>
      </c>
      <c r="H159" s="231">
        <f t="shared" si="90"/>
        <v>0.223076</v>
      </c>
      <c r="I159" s="276">
        <f t="shared" si="72"/>
        <v>0.13934505571493014</v>
      </c>
      <c r="J159" s="276"/>
      <c r="K159" s="199">
        <f t="shared" si="87"/>
        <v>5.0000000000000001E-3</v>
      </c>
      <c r="L159" s="282" t="e">
        <f t="shared" si="74"/>
        <v>#DIV/0!</v>
      </c>
      <c r="M159" s="286" t="e">
        <f>0.01*FORMAT_HAR_I!BW43*C159*1000</f>
        <v>#DIV/0!</v>
      </c>
      <c r="N159" s="231" t="e">
        <f t="shared" si="75"/>
        <v>#DIV/0!</v>
      </c>
      <c r="O159" s="231">
        <f t="shared" si="91"/>
        <v>0.223076</v>
      </c>
      <c r="P159" s="276">
        <f t="shared" si="77"/>
        <v>0.13934505571493014</v>
      </c>
      <c r="Q159" s="276"/>
      <c r="R159" s="199">
        <f t="shared" si="88"/>
        <v>5.0000000000000001E-3</v>
      </c>
      <c r="S159" s="282" t="e">
        <f t="shared" si="79"/>
        <v>#DIV/0!</v>
      </c>
      <c r="T159" s="541" t="e">
        <f t="shared" si="80"/>
        <v>#DIV/0!</v>
      </c>
      <c r="U159" s="312">
        <f t="shared" si="81"/>
        <v>0.28844999999999998</v>
      </c>
      <c r="V159" s="459">
        <f t="shared" si="89"/>
        <v>7.5</v>
      </c>
      <c r="W159" s="319" t="e">
        <f t="shared" si="83"/>
        <v>#DIV/0!</v>
      </c>
      <c r="X159" s="467" t="e">
        <f t="shared" si="84"/>
        <v>#DIV/0!</v>
      </c>
      <c r="Y159" s="463" t="e">
        <f t="shared" si="85"/>
        <v>#DIV/0!</v>
      </c>
      <c r="Z159" s="316" t="e">
        <f t="shared" si="86"/>
        <v>#DIV/0!</v>
      </c>
    </row>
    <row r="160" spans="1:26" ht="12.9" customHeight="1" thickBot="1">
      <c r="A160" s="120">
        <f t="shared" si="69"/>
        <v>2000</v>
      </c>
      <c r="B160" s="378">
        <v>40</v>
      </c>
      <c r="C160" s="15">
        <f>FORMAT_HAR_I!C44</f>
        <v>4.5999999999999999E-2</v>
      </c>
      <c r="D160" s="384" t="e">
        <f>FORMAT_HAR_I!BZ44</f>
        <v>#DIV/0!</v>
      </c>
      <c r="E160" s="382" t="e">
        <f>FORMAT_HAR_I!CC44</f>
        <v>#DIV/0!</v>
      </c>
      <c r="F160" s="233" t="e">
        <f>0.01*FORMAT_HAR_I!AM44*C160*1000</f>
        <v>#DIV/0!</v>
      </c>
      <c r="G160" s="212" t="e">
        <f t="shared" si="70"/>
        <v>#DIV/0!</v>
      </c>
      <c r="H160" s="212">
        <f t="shared" si="90"/>
        <v>0.21839999999999998</v>
      </c>
      <c r="I160" s="278">
        <f t="shared" si="72"/>
        <v>0.1111089021127888</v>
      </c>
      <c r="J160" s="278"/>
      <c r="K160" s="211">
        <f t="shared" si="87"/>
        <v>5.0000000000000001E-3</v>
      </c>
      <c r="L160" s="379" t="e">
        <f t="shared" si="74"/>
        <v>#DIV/0!</v>
      </c>
      <c r="M160" s="233" t="e">
        <f>0.01*FORMAT_HAR_I!BW44*C160*1000</f>
        <v>#DIV/0!</v>
      </c>
      <c r="N160" s="212" t="e">
        <f t="shared" si="75"/>
        <v>#DIV/0!</v>
      </c>
      <c r="O160" s="212">
        <f t="shared" si="91"/>
        <v>0.21839999999999998</v>
      </c>
      <c r="P160" s="278">
        <f t="shared" si="77"/>
        <v>0.1111089021127888</v>
      </c>
      <c r="Q160" s="278"/>
      <c r="R160" s="211">
        <f t="shared" si="88"/>
        <v>5.0000000000000001E-3</v>
      </c>
      <c r="S160" s="379" t="e">
        <f t="shared" si="79"/>
        <v>#DIV/0!</v>
      </c>
      <c r="T160" s="542" t="e">
        <f t="shared" si="80"/>
        <v>#DIV/0!</v>
      </c>
      <c r="U160" s="313">
        <f t="shared" si="81"/>
        <v>0.23</v>
      </c>
      <c r="V160" s="460">
        <f t="shared" si="89"/>
        <v>7.5</v>
      </c>
      <c r="W160" s="320" t="e">
        <f t="shared" si="83"/>
        <v>#DIV/0!</v>
      </c>
      <c r="X160" s="468" t="e">
        <f t="shared" si="84"/>
        <v>#DIV/0!</v>
      </c>
      <c r="Y160" s="464" t="e">
        <f t="shared" si="85"/>
        <v>#DIV/0!</v>
      </c>
      <c r="Z160" s="317" t="e">
        <f t="shared" si="86"/>
        <v>#DIV/0!</v>
      </c>
    </row>
    <row r="161" spans="1:26" ht="12.9" customHeight="1">
      <c r="A161" s="116">
        <f t="shared" si="69"/>
        <v>2050</v>
      </c>
      <c r="B161" s="353">
        <v>41</v>
      </c>
      <c r="C161" s="4">
        <f>FORMAT_HAR_I!C45</f>
        <v>2.3E-2</v>
      </c>
      <c r="D161" s="388" t="e">
        <f>FORMAT_HAR_I!BZ45</f>
        <v>#DIV/0!</v>
      </c>
      <c r="E161" s="386" t="e">
        <f>FORMAT_HAR_I!CC45</f>
        <v>#DIV/0!</v>
      </c>
      <c r="F161" s="286" t="e">
        <f>0.01*FORMAT_HAR_I!AM45*C161*1000</f>
        <v>#DIV/0!</v>
      </c>
      <c r="G161" s="231" t="e">
        <f t="shared" ref="G161:G170" si="92">F161/10^0.5</f>
        <v>#DIV/0!</v>
      </c>
      <c r="H161" s="231">
        <f t="shared" ref="H161:H170" si="93">1000*(0.0004*C161+0.0002)</f>
        <v>0.20920000000000002</v>
      </c>
      <c r="I161" s="276">
        <f t="shared" ref="I161:I170" si="94">1000*C161*$H$174*0.01</f>
        <v>2.3035485135429107E-2</v>
      </c>
      <c r="J161" s="276"/>
      <c r="K161" s="199">
        <f t="shared" ref="K161:K170" si="95">1000*0.00001/2</f>
        <v>5.0000000000000001E-3</v>
      </c>
      <c r="L161" s="355" t="e">
        <f t="shared" ref="L161:L170" si="96">2*(G161^2+I161^2/4+J161^2/3+K161^2/3)^0.5</f>
        <v>#DIV/0!</v>
      </c>
      <c r="M161" s="286" t="e">
        <f>0.01*FORMAT_HAR_I!BW45*C161*1000</f>
        <v>#DIV/0!</v>
      </c>
      <c r="N161" s="231" t="e">
        <f t="shared" ref="N161:N170" si="97">M161/10^0.5</f>
        <v>#DIV/0!</v>
      </c>
      <c r="O161" s="231">
        <f t="shared" ref="O161:O170" si="98">1000*(0.0004*C161+0.0002)</f>
        <v>0.20920000000000002</v>
      </c>
      <c r="P161" s="276">
        <f t="shared" ref="P161:P170" si="99">1000*C161*$O$174*0.01</f>
        <v>2.3035485135429107E-2</v>
      </c>
      <c r="Q161" s="276"/>
      <c r="R161" s="199">
        <f t="shared" ref="R161:R170" si="100">1000*0.00001/2</f>
        <v>5.0000000000000001E-3</v>
      </c>
      <c r="S161" s="355" t="e">
        <f t="shared" ref="S161:S170" si="101">2*(N161^2+P161^2/4+Q161^2/3+R161^2/3)^0.5</f>
        <v>#DIV/0!</v>
      </c>
      <c r="T161" s="530" t="e">
        <f t="shared" si="80"/>
        <v>#DIV/0!</v>
      </c>
      <c r="U161" s="370">
        <f t="shared" si="81"/>
        <v>0.115</v>
      </c>
      <c r="V161" s="461">
        <f>0.0015*5*1000</f>
        <v>7.5</v>
      </c>
      <c r="W161" s="456" t="e">
        <f t="shared" si="83"/>
        <v>#DIV/0!</v>
      </c>
      <c r="X161" s="469" t="e">
        <f t="shared" si="84"/>
        <v>#DIV/0!</v>
      </c>
      <c r="Y161" s="465" t="e">
        <f t="shared" si="85"/>
        <v>#DIV/0!</v>
      </c>
      <c r="Z161" s="362" t="e">
        <f t="shared" si="86"/>
        <v>#DIV/0!</v>
      </c>
    </row>
    <row r="162" spans="1:26" ht="12.9" customHeight="1">
      <c r="A162" s="116">
        <f t="shared" si="69"/>
        <v>2100</v>
      </c>
      <c r="B162" s="353">
        <v>42</v>
      </c>
      <c r="C162" s="4">
        <f>FORMAT_HAR_I!C46</f>
        <v>2.3E-2</v>
      </c>
      <c r="D162" s="388" t="e">
        <f>FORMAT_HAR_I!BZ46</f>
        <v>#DIV/0!</v>
      </c>
      <c r="E162" s="386" t="e">
        <f>FORMAT_HAR_I!CC46</f>
        <v>#DIV/0!</v>
      </c>
      <c r="F162" s="286" t="e">
        <f>0.01*FORMAT_HAR_I!AM46*C162*1000</f>
        <v>#DIV/0!</v>
      </c>
      <c r="G162" s="231" t="e">
        <f t="shared" si="92"/>
        <v>#DIV/0!</v>
      </c>
      <c r="H162" s="231">
        <f t="shared" si="93"/>
        <v>0.20920000000000002</v>
      </c>
      <c r="I162" s="276">
        <f t="shared" si="94"/>
        <v>2.3035485135429107E-2</v>
      </c>
      <c r="J162" s="276"/>
      <c r="K162" s="199">
        <f t="shared" si="95"/>
        <v>5.0000000000000001E-3</v>
      </c>
      <c r="L162" s="355" t="e">
        <f t="shared" si="96"/>
        <v>#DIV/0!</v>
      </c>
      <c r="M162" s="286" t="e">
        <f>0.01*FORMAT_HAR_I!BW46*C162*1000</f>
        <v>#DIV/0!</v>
      </c>
      <c r="N162" s="231" t="e">
        <f t="shared" si="97"/>
        <v>#DIV/0!</v>
      </c>
      <c r="O162" s="231">
        <f t="shared" si="98"/>
        <v>0.20920000000000002</v>
      </c>
      <c r="P162" s="276">
        <f t="shared" si="99"/>
        <v>2.3035485135429107E-2</v>
      </c>
      <c r="Q162" s="276"/>
      <c r="R162" s="199">
        <f t="shared" si="100"/>
        <v>5.0000000000000001E-3</v>
      </c>
      <c r="S162" s="355" t="e">
        <f t="shared" si="101"/>
        <v>#DIV/0!</v>
      </c>
      <c r="T162" s="541" t="e">
        <f t="shared" si="80"/>
        <v>#DIV/0!</v>
      </c>
      <c r="U162" s="312">
        <f t="shared" si="81"/>
        <v>0.115</v>
      </c>
      <c r="V162" s="461">
        <f t="shared" ref="V162:V170" si="102">0.0015*5*1000</f>
        <v>7.5</v>
      </c>
      <c r="W162" s="319" t="e">
        <f t="shared" si="83"/>
        <v>#DIV/0!</v>
      </c>
      <c r="X162" s="467" t="e">
        <f t="shared" si="84"/>
        <v>#DIV/0!</v>
      </c>
      <c r="Y162" s="463" t="e">
        <f t="shared" si="85"/>
        <v>#DIV/0!</v>
      </c>
      <c r="Z162" s="316" t="e">
        <f t="shared" si="86"/>
        <v>#DIV/0!</v>
      </c>
    </row>
    <row r="163" spans="1:26" ht="12.9" customHeight="1">
      <c r="A163" s="116">
        <f t="shared" si="69"/>
        <v>2150</v>
      </c>
      <c r="B163" s="353">
        <v>43</v>
      </c>
      <c r="C163" s="4">
        <f>FORMAT_HAR_I!C47</f>
        <v>2.3E-2</v>
      </c>
      <c r="D163" s="388" t="e">
        <f>FORMAT_HAR_I!BZ47</f>
        <v>#DIV/0!</v>
      </c>
      <c r="E163" s="386" t="e">
        <f>FORMAT_HAR_I!CC47</f>
        <v>#DIV/0!</v>
      </c>
      <c r="F163" s="286" t="e">
        <f>0.01*FORMAT_HAR_I!AM47*C163*1000</f>
        <v>#DIV/0!</v>
      </c>
      <c r="G163" s="231" t="e">
        <f t="shared" si="92"/>
        <v>#DIV/0!</v>
      </c>
      <c r="H163" s="231">
        <f t="shared" si="93"/>
        <v>0.20920000000000002</v>
      </c>
      <c r="I163" s="276">
        <f t="shared" si="94"/>
        <v>2.3035485135429107E-2</v>
      </c>
      <c r="J163" s="276"/>
      <c r="K163" s="199">
        <f t="shared" si="95"/>
        <v>5.0000000000000001E-3</v>
      </c>
      <c r="L163" s="355" t="e">
        <f t="shared" si="96"/>
        <v>#DIV/0!</v>
      </c>
      <c r="M163" s="286" t="e">
        <f>0.01*FORMAT_HAR_I!BW47*C163*1000</f>
        <v>#DIV/0!</v>
      </c>
      <c r="N163" s="231" t="e">
        <f t="shared" si="97"/>
        <v>#DIV/0!</v>
      </c>
      <c r="O163" s="231">
        <f t="shared" si="98"/>
        <v>0.20920000000000002</v>
      </c>
      <c r="P163" s="276">
        <f t="shared" si="99"/>
        <v>2.3035485135429107E-2</v>
      </c>
      <c r="Q163" s="276"/>
      <c r="R163" s="199">
        <f t="shared" si="100"/>
        <v>5.0000000000000001E-3</v>
      </c>
      <c r="S163" s="355" t="e">
        <f t="shared" si="101"/>
        <v>#DIV/0!</v>
      </c>
      <c r="T163" s="541" t="e">
        <f t="shared" si="80"/>
        <v>#DIV/0!</v>
      </c>
      <c r="U163" s="312">
        <f t="shared" si="81"/>
        <v>0.115</v>
      </c>
      <c r="V163" s="461">
        <f t="shared" si="102"/>
        <v>7.5</v>
      </c>
      <c r="W163" s="319" t="e">
        <f t="shared" si="83"/>
        <v>#DIV/0!</v>
      </c>
      <c r="X163" s="467" t="e">
        <f t="shared" si="84"/>
        <v>#DIV/0!</v>
      </c>
      <c r="Y163" s="463" t="e">
        <f t="shared" si="85"/>
        <v>#DIV/0!</v>
      </c>
      <c r="Z163" s="316" t="e">
        <f t="shared" si="86"/>
        <v>#DIV/0!</v>
      </c>
    </row>
    <row r="164" spans="1:26" ht="12.9" customHeight="1">
      <c r="A164" s="116">
        <f t="shared" si="69"/>
        <v>2200</v>
      </c>
      <c r="B164" s="353">
        <v>44</v>
      </c>
      <c r="C164" s="4">
        <f>FORMAT_HAR_I!C48</f>
        <v>2.3E-2</v>
      </c>
      <c r="D164" s="388" t="e">
        <f>FORMAT_HAR_I!BZ48</f>
        <v>#DIV/0!</v>
      </c>
      <c r="E164" s="386" t="e">
        <f>FORMAT_HAR_I!CC48</f>
        <v>#DIV/0!</v>
      </c>
      <c r="F164" s="286" t="e">
        <f>0.01*FORMAT_HAR_I!AM48*C164*1000</f>
        <v>#DIV/0!</v>
      </c>
      <c r="G164" s="231" t="e">
        <f t="shared" si="92"/>
        <v>#DIV/0!</v>
      </c>
      <c r="H164" s="231">
        <f t="shared" si="93"/>
        <v>0.20920000000000002</v>
      </c>
      <c r="I164" s="276">
        <f t="shared" si="94"/>
        <v>2.3035485135429107E-2</v>
      </c>
      <c r="J164" s="276"/>
      <c r="K164" s="199">
        <f t="shared" si="95"/>
        <v>5.0000000000000001E-3</v>
      </c>
      <c r="L164" s="355" t="e">
        <f t="shared" si="96"/>
        <v>#DIV/0!</v>
      </c>
      <c r="M164" s="286" t="e">
        <f>0.01*FORMAT_HAR_I!BW48*C164*1000</f>
        <v>#DIV/0!</v>
      </c>
      <c r="N164" s="231" t="e">
        <f t="shared" si="97"/>
        <v>#DIV/0!</v>
      </c>
      <c r="O164" s="231">
        <f t="shared" si="98"/>
        <v>0.20920000000000002</v>
      </c>
      <c r="P164" s="276">
        <f t="shared" si="99"/>
        <v>2.3035485135429107E-2</v>
      </c>
      <c r="Q164" s="276"/>
      <c r="R164" s="199">
        <f t="shared" si="100"/>
        <v>5.0000000000000001E-3</v>
      </c>
      <c r="S164" s="355" t="e">
        <f t="shared" si="101"/>
        <v>#DIV/0!</v>
      </c>
      <c r="T164" s="541" t="e">
        <f t="shared" si="80"/>
        <v>#DIV/0!</v>
      </c>
      <c r="U164" s="312">
        <f t="shared" si="81"/>
        <v>0.115</v>
      </c>
      <c r="V164" s="461">
        <f t="shared" si="102"/>
        <v>7.5</v>
      </c>
      <c r="W164" s="319" t="e">
        <f t="shared" si="83"/>
        <v>#DIV/0!</v>
      </c>
      <c r="X164" s="467" t="e">
        <f t="shared" si="84"/>
        <v>#DIV/0!</v>
      </c>
      <c r="Y164" s="463" t="e">
        <f t="shared" si="85"/>
        <v>#DIV/0!</v>
      </c>
      <c r="Z164" s="316" t="e">
        <f t="shared" si="86"/>
        <v>#DIV/0!</v>
      </c>
    </row>
    <row r="165" spans="1:26" ht="12.9" customHeight="1">
      <c r="A165" s="116">
        <f t="shared" si="69"/>
        <v>2250</v>
      </c>
      <c r="B165" s="353">
        <v>45</v>
      </c>
      <c r="C165" s="4">
        <f>FORMAT_HAR_I!C49</f>
        <v>2.3E-2</v>
      </c>
      <c r="D165" s="388" t="e">
        <f>FORMAT_HAR_I!BZ49</f>
        <v>#DIV/0!</v>
      </c>
      <c r="E165" s="386" t="e">
        <f>FORMAT_HAR_I!CC49</f>
        <v>#DIV/0!</v>
      </c>
      <c r="F165" s="286" t="e">
        <f>0.01*FORMAT_HAR_I!AM49*C165*1000</f>
        <v>#DIV/0!</v>
      </c>
      <c r="G165" s="231" t="e">
        <f t="shared" si="92"/>
        <v>#DIV/0!</v>
      </c>
      <c r="H165" s="231">
        <f t="shared" si="93"/>
        <v>0.20920000000000002</v>
      </c>
      <c r="I165" s="276">
        <f t="shared" si="94"/>
        <v>2.3035485135429107E-2</v>
      </c>
      <c r="J165" s="276"/>
      <c r="K165" s="199">
        <f t="shared" si="95"/>
        <v>5.0000000000000001E-3</v>
      </c>
      <c r="L165" s="355" t="e">
        <f t="shared" si="96"/>
        <v>#DIV/0!</v>
      </c>
      <c r="M165" s="286" t="e">
        <f>0.01*FORMAT_HAR_I!BW49*C165*1000</f>
        <v>#DIV/0!</v>
      </c>
      <c r="N165" s="231" t="e">
        <f t="shared" si="97"/>
        <v>#DIV/0!</v>
      </c>
      <c r="O165" s="231">
        <f t="shared" si="98"/>
        <v>0.20920000000000002</v>
      </c>
      <c r="P165" s="276">
        <f t="shared" si="99"/>
        <v>2.3035485135429107E-2</v>
      </c>
      <c r="Q165" s="276"/>
      <c r="R165" s="199">
        <f t="shared" si="100"/>
        <v>5.0000000000000001E-3</v>
      </c>
      <c r="S165" s="355" t="e">
        <f t="shared" si="101"/>
        <v>#DIV/0!</v>
      </c>
      <c r="T165" s="541" t="e">
        <f t="shared" si="80"/>
        <v>#DIV/0!</v>
      </c>
      <c r="U165" s="312">
        <f t="shared" si="81"/>
        <v>0.115</v>
      </c>
      <c r="V165" s="461">
        <f t="shared" si="102"/>
        <v>7.5</v>
      </c>
      <c r="W165" s="319" t="e">
        <f t="shared" si="83"/>
        <v>#DIV/0!</v>
      </c>
      <c r="X165" s="467" t="e">
        <f t="shared" si="84"/>
        <v>#DIV/0!</v>
      </c>
      <c r="Y165" s="463" t="e">
        <f t="shared" si="85"/>
        <v>#DIV/0!</v>
      </c>
      <c r="Z165" s="316" t="e">
        <f t="shared" si="86"/>
        <v>#DIV/0!</v>
      </c>
    </row>
    <row r="166" spans="1:26" ht="12.9" customHeight="1">
      <c r="A166" s="116">
        <f t="shared" si="69"/>
        <v>2300</v>
      </c>
      <c r="B166" s="353">
        <v>46</v>
      </c>
      <c r="C166" s="4">
        <f>FORMAT_HAR_I!C50</f>
        <v>2.3E-2</v>
      </c>
      <c r="D166" s="388" t="e">
        <f>FORMAT_HAR_I!BZ50</f>
        <v>#DIV/0!</v>
      </c>
      <c r="E166" s="386" t="e">
        <f>FORMAT_HAR_I!CC50</f>
        <v>#DIV/0!</v>
      </c>
      <c r="F166" s="286" t="e">
        <f>0.01*FORMAT_HAR_I!AM50*C166*1000</f>
        <v>#DIV/0!</v>
      </c>
      <c r="G166" s="231" t="e">
        <f t="shared" si="92"/>
        <v>#DIV/0!</v>
      </c>
      <c r="H166" s="231">
        <f t="shared" si="93"/>
        <v>0.20920000000000002</v>
      </c>
      <c r="I166" s="276">
        <f t="shared" si="94"/>
        <v>2.3035485135429107E-2</v>
      </c>
      <c r="J166" s="276"/>
      <c r="K166" s="199">
        <f t="shared" si="95"/>
        <v>5.0000000000000001E-3</v>
      </c>
      <c r="L166" s="355" t="e">
        <f t="shared" si="96"/>
        <v>#DIV/0!</v>
      </c>
      <c r="M166" s="286" t="e">
        <f>0.01*FORMAT_HAR_I!BW50*C166*1000</f>
        <v>#DIV/0!</v>
      </c>
      <c r="N166" s="231" t="e">
        <f t="shared" si="97"/>
        <v>#DIV/0!</v>
      </c>
      <c r="O166" s="231">
        <f t="shared" si="98"/>
        <v>0.20920000000000002</v>
      </c>
      <c r="P166" s="276">
        <f t="shared" si="99"/>
        <v>2.3035485135429107E-2</v>
      </c>
      <c r="Q166" s="276"/>
      <c r="R166" s="199">
        <f t="shared" si="100"/>
        <v>5.0000000000000001E-3</v>
      </c>
      <c r="S166" s="355" t="e">
        <f t="shared" si="101"/>
        <v>#DIV/0!</v>
      </c>
      <c r="T166" s="541" t="e">
        <f t="shared" si="80"/>
        <v>#DIV/0!</v>
      </c>
      <c r="U166" s="312">
        <f t="shared" si="81"/>
        <v>0.115</v>
      </c>
      <c r="V166" s="461">
        <f t="shared" si="102"/>
        <v>7.5</v>
      </c>
      <c r="W166" s="319" t="e">
        <f t="shared" si="83"/>
        <v>#DIV/0!</v>
      </c>
      <c r="X166" s="467" t="e">
        <f t="shared" si="84"/>
        <v>#DIV/0!</v>
      </c>
      <c r="Y166" s="463" t="e">
        <f t="shared" si="85"/>
        <v>#DIV/0!</v>
      </c>
      <c r="Z166" s="316" t="e">
        <f t="shared" si="86"/>
        <v>#DIV/0!</v>
      </c>
    </row>
    <row r="167" spans="1:26" ht="12.9" customHeight="1">
      <c r="A167" s="116">
        <f t="shared" si="69"/>
        <v>2350</v>
      </c>
      <c r="B167" s="353">
        <v>47</v>
      </c>
      <c r="C167" s="4">
        <f>FORMAT_HAR_I!C51</f>
        <v>2.3E-2</v>
      </c>
      <c r="D167" s="388" t="e">
        <f>FORMAT_HAR_I!BZ51</f>
        <v>#DIV/0!</v>
      </c>
      <c r="E167" s="386" t="e">
        <f>FORMAT_HAR_I!CC51</f>
        <v>#DIV/0!</v>
      </c>
      <c r="F167" s="286" t="e">
        <f>0.01*FORMAT_HAR_I!AM51*C167*1000</f>
        <v>#DIV/0!</v>
      </c>
      <c r="G167" s="231" t="e">
        <f t="shared" si="92"/>
        <v>#DIV/0!</v>
      </c>
      <c r="H167" s="231">
        <f t="shared" si="93"/>
        <v>0.20920000000000002</v>
      </c>
      <c r="I167" s="276">
        <f t="shared" si="94"/>
        <v>2.3035485135429107E-2</v>
      </c>
      <c r="J167" s="276"/>
      <c r="K167" s="199">
        <f t="shared" si="95"/>
        <v>5.0000000000000001E-3</v>
      </c>
      <c r="L167" s="355" t="e">
        <f t="shared" si="96"/>
        <v>#DIV/0!</v>
      </c>
      <c r="M167" s="286" t="e">
        <f>0.01*FORMAT_HAR_I!BW51*C167*1000</f>
        <v>#DIV/0!</v>
      </c>
      <c r="N167" s="231" t="e">
        <f t="shared" si="97"/>
        <v>#DIV/0!</v>
      </c>
      <c r="O167" s="231">
        <f t="shared" si="98"/>
        <v>0.20920000000000002</v>
      </c>
      <c r="P167" s="276">
        <f t="shared" si="99"/>
        <v>2.3035485135429107E-2</v>
      </c>
      <c r="Q167" s="276"/>
      <c r="R167" s="199">
        <f t="shared" si="100"/>
        <v>5.0000000000000001E-3</v>
      </c>
      <c r="S167" s="355" t="e">
        <f t="shared" si="101"/>
        <v>#DIV/0!</v>
      </c>
      <c r="T167" s="541" t="e">
        <f t="shared" si="80"/>
        <v>#DIV/0!</v>
      </c>
      <c r="U167" s="312">
        <f t="shared" si="81"/>
        <v>0.115</v>
      </c>
      <c r="V167" s="461">
        <f t="shared" si="102"/>
        <v>7.5</v>
      </c>
      <c r="W167" s="319" t="e">
        <f t="shared" si="83"/>
        <v>#DIV/0!</v>
      </c>
      <c r="X167" s="467" t="e">
        <f t="shared" si="84"/>
        <v>#DIV/0!</v>
      </c>
      <c r="Y167" s="463" t="e">
        <f t="shared" si="85"/>
        <v>#DIV/0!</v>
      </c>
      <c r="Z167" s="316" t="e">
        <f t="shared" si="86"/>
        <v>#DIV/0!</v>
      </c>
    </row>
    <row r="168" spans="1:26" ht="12.9" customHeight="1">
      <c r="A168" s="116">
        <f t="shared" si="69"/>
        <v>2400</v>
      </c>
      <c r="B168" s="353">
        <v>48</v>
      </c>
      <c r="C168" s="4">
        <f>FORMAT_HAR_I!C52</f>
        <v>2.3E-2</v>
      </c>
      <c r="D168" s="388" t="e">
        <f>FORMAT_HAR_I!BZ52</f>
        <v>#DIV/0!</v>
      </c>
      <c r="E168" s="386" t="e">
        <f>FORMAT_HAR_I!CC52</f>
        <v>#DIV/0!</v>
      </c>
      <c r="F168" s="286" t="e">
        <f>0.01*FORMAT_HAR_I!AM52*C168*1000</f>
        <v>#DIV/0!</v>
      </c>
      <c r="G168" s="231" t="e">
        <f t="shared" si="92"/>
        <v>#DIV/0!</v>
      </c>
      <c r="H168" s="231">
        <f t="shared" si="93"/>
        <v>0.20920000000000002</v>
      </c>
      <c r="I168" s="276">
        <f t="shared" si="94"/>
        <v>2.3035485135429107E-2</v>
      </c>
      <c r="J168" s="276"/>
      <c r="K168" s="199">
        <f t="shared" si="95"/>
        <v>5.0000000000000001E-3</v>
      </c>
      <c r="L168" s="355" t="e">
        <f t="shared" si="96"/>
        <v>#DIV/0!</v>
      </c>
      <c r="M168" s="286" t="e">
        <f>0.01*FORMAT_HAR_I!BW52*C168*1000</f>
        <v>#DIV/0!</v>
      </c>
      <c r="N168" s="231" t="e">
        <f t="shared" si="97"/>
        <v>#DIV/0!</v>
      </c>
      <c r="O168" s="231">
        <f t="shared" si="98"/>
        <v>0.20920000000000002</v>
      </c>
      <c r="P168" s="276">
        <f t="shared" si="99"/>
        <v>2.3035485135429107E-2</v>
      </c>
      <c r="Q168" s="276"/>
      <c r="R168" s="199">
        <f t="shared" si="100"/>
        <v>5.0000000000000001E-3</v>
      </c>
      <c r="S168" s="355" t="e">
        <f t="shared" si="101"/>
        <v>#DIV/0!</v>
      </c>
      <c r="T168" s="541" t="e">
        <f t="shared" si="80"/>
        <v>#DIV/0!</v>
      </c>
      <c r="U168" s="312">
        <f t="shared" si="81"/>
        <v>0.115</v>
      </c>
      <c r="V168" s="461">
        <f t="shared" si="102"/>
        <v>7.5</v>
      </c>
      <c r="W168" s="319" t="e">
        <f t="shared" si="83"/>
        <v>#DIV/0!</v>
      </c>
      <c r="X168" s="467" t="e">
        <f t="shared" si="84"/>
        <v>#DIV/0!</v>
      </c>
      <c r="Y168" s="463" t="e">
        <f t="shared" si="85"/>
        <v>#DIV/0!</v>
      </c>
      <c r="Z168" s="316" t="e">
        <f t="shared" si="86"/>
        <v>#DIV/0!</v>
      </c>
    </row>
    <row r="169" spans="1:26" ht="12.9" customHeight="1">
      <c r="A169" s="116">
        <f t="shared" si="69"/>
        <v>2450</v>
      </c>
      <c r="B169" s="353">
        <v>49</v>
      </c>
      <c r="C169" s="4">
        <f>FORMAT_HAR_I!C53</f>
        <v>2.3E-2</v>
      </c>
      <c r="D169" s="388" t="e">
        <f>FORMAT_HAR_I!BZ53</f>
        <v>#DIV/0!</v>
      </c>
      <c r="E169" s="386" t="e">
        <f>FORMAT_HAR_I!CC53</f>
        <v>#DIV/0!</v>
      </c>
      <c r="F169" s="286" t="e">
        <f>0.01*FORMAT_HAR_I!AM53*C169*1000</f>
        <v>#DIV/0!</v>
      </c>
      <c r="G169" s="231" t="e">
        <f t="shared" si="92"/>
        <v>#DIV/0!</v>
      </c>
      <c r="H169" s="231">
        <f t="shared" si="93"/>
        <v>0.20920000000000002</v>
      </c>
      <c r="I169" s="276">
        <f t="shared" si="94"/>
        <v>2.3035485135429107E-2</v>
      </c>
      <c r="J169" s="276"/>
      <c r="K169" s="199">
        <f t="shared" si="95"/>
        <v>5.0000000000000001E-3</v>
      </c>
      <c r="L169" s="355" t="e">
        <f t="shared" si="96"/>
        <v>#DIV/0!</v>
      </c>
      <c r="M169" s="286" t="e">
        <f>0.01*FORMAT_HAR_I!BW53*C169*1000</f>
        <v>#DIV/0!</v>
      </c>
      <c r="N169" s="231" t="e">
        <f t="shared" si="97"/>
        <v>#DIV/0!</v>
      </c>
      <c r="O169" s="231">
        <f t="shared" si="98"/>
        <v>0.20920000000000002</v>
      </c>
      <c r="P169" s="276">
        <f t="shared" si="99"/>
        <v>2.3035485135429107E-2</v>
      </c>
      <c r="Q169" s="276"/>
      <c r="R169" s="199">
        <f t="shared" si="100"/>
        <v>5.0000000000000001E-3</v>
      </c>
      <c r="S169" s="355" t="e">
        <f t="shared" si="101"/>
        <v>#DIV/0!</v>
      </c>
      <c r="T169" s="541" t="e">
        <f t="shared" si="80"/>
        <v>#DIV/0!</v>
      </c>
      <c r="U169" s="312">
        <f t="shared" si="81"/>
        <v>0.115</v>
      </c>
      <c r="V169" s="461">
        <f t="shared" si="102"/>
        <v>7.5</v>
      </c>
      <c r="W169" s="319" t="e">
        <f t="shared" si="83"/>
        <v>#DIV/0!</v>
      </c>
      <c r="X169" s="467" t="e">
        <f t="shared" si="84"/>
        <v>#DIV/0!</v>
      </c>
      <c r="Y169" s="463" t="e">
        <f t="shared" si="85"/>
        <v>#DIV/0!</v>
      </c>
      <c r="Z169" s="316" t="e">
        <f t="shared" si="86"/>
        <v>#DIV/0!</v>
      </c>
    </row>
    <row r="170" spans="1:26" ht="12.9" customHeight="1" thickBot="1">
      <c r="A170" s="120">
        <f t="shared" si="69"/>
        <v>2500</v>
      </c>
      <c r="B170" s="367">
        <v>50</v>
      </c>
      <c r="C170" s="15">
        <f>FORMAT_HAR_I!C54</f>
        <v>2.3E-2</v>
      </c>
      <c r="D170" s="389" t="e">
        <f>FORMAT_HAR_I!BZ54</f>
        <v>#DIV/0!</v>
      </c>
      <c r="E170" s="387" t="e">
        <f>FORMAT_HAR_I!CC54</f>
        <v>#DIV/0!</v>
      </c>
      <c r="F170" s="233" t="e">
        <f>0.01*FORMAT_HAR_I!AM54*C170*1000</f>
        <v>#DIV/0!</v>
      </c>
      <c r="G170" s="212" t="e">
        <f t="shared" si="92"/>
        <v>#DIV/0!</v>
      </c>
      <c r="H170" s="212">
        <f t="shared" si="93"/>
        <v>0.20920000000000002</v>
      </c>
      <c r="I170" s="278">
        <f t="shared" si="94"/>
        <v>2.3035485135429107E-2</v>
      </c>
      <c r="J170" s="278"/>
      <c r="K170" s="309">
        <f t="shared" si="95"/>
        <v>5.0000000000000001E-3</v>
      </c>
      <c r="L170" s="356" t="e">
        <f t="shared" si="96"/>
        <v>#DIV/0!</v>
      </c>
      <c r="M170" s="233" t="e">
        <f>0.01*FORMAT_HAR_I!BW54*C170*1000</f>
        <v>#DIV/0!</v>
      </c>
      <c r="N170" s="212" t="e">
        <f t="shared" si="97"/>
        <v>#DIV/0!</v>
      </c>
      <c r="O170" s="212">
        <f t="shared" si="98"/>
        <v>0.20920000000000002</v>
      </c>
      <c r="P170" s="359">
        <f t="shared" si="99"/>
        <v>2.3035485135429107E-2</v>
      </c>
      <c r="Q170" s="278"/>
      <c r="R170" s="309">
        <f t="shared" si="100"/>
        <v>5.0000000000000001E-3</v>
      </c>
      <c r="S170" s="356" t="e">
        <f t="shared" si="101"/>
        <v>#DIV/0!</v>
      </c>
      <c r="T170" s="542" t="e">
        <f t="shared" si="80"/>
        <v>#DIV/0!</v>
      </c>
      <c r="U170" s="368">
        <f t="shared" si="81"/>
        <v>0.115</v>
      </c>
      <c r="V170" s="462">
        <f t="shared" si="102"/>
        <v>7.5</v>
      </c>
      <c r="W170" s="457" t="e">
        <f t="shared" si="83"/>
        <v>#DIV/0!</v>
      </c>
      <c r="X170" s="470" t="e">
        <f t="shared" si="84"/>
        <v>#DIV/0!</v>
      </c>
      <c r="Y170" s="466" t="e">
        <f t="shared" si="85"/>
        <v>#DIV/0!</v>
      </c>
      <c r="Z170" s="369" t="e">
        <f t="shared" si="86"/>
        <v>#DIV/0!</v>
      </c>
    </row>
    <row r="171" spans="1:26" ht="12.9" customHeight="1">
      <c r="A171" s="332"/>
      <c r="C171" s="277">
        <f>(C121^2+C122^2+C123^2+C124^2+C125^2+C126^2+C127^2+C128^2+C129^2+C130^2+C131^2+C132^2+C133^2+C134^2+C135^2+C136^2+C137^2+C138^2+C139^2+C140^2+C141^2+C142^2+C143^2+C144^2+C145^2+C146^2+C147^2+C148^2+C149^2+C150^2+C151^2+C152^2+C153^2+C154^2+C155^2+C156^2+C157^2+C158^2+C159^2+C160^2)^0.5</f>
        <v>3.8135254672022318</v>
      </c>
      <c r="F171" s="206" t="s">
        <v>122</v>
      </c>
      <c r="G171" s="279" t="s">
        <v>91</v>
      </c>
      <c r="H171" s="280">
        <f>SUM(H121:H160)</f>
        <v>9.2112310399999977</v>
      </c>
      <c r="N171" s="279" t="s">
        <v>91</v>
      </c>
      <c r="O171" s="280">
        <f>SUM(O121:O160)</f>
        <v>9.2112310399999977</v>
      </c>
      <c r="U171" s="407"/>
      <c r="V171" s="407"/>
      <c r="W171" s="408"/>
      <c r="X171" s="408"/>
      <c r="Y171" s="408"/>
      <c r="Z171" s="408"/>
    </row>
    <row r="172" spans="1:26" ht="12.9" customHeight="1">
      <c r="A172" s="332"/>
      <c r="G172" s="208" t="s">
        <v>51</v>
      </c>
      <c r="H172" s="230">
        <f>0.1*H171/$C$171</f>
        <v>0.24154109154954087</v>
      </c>
      <c r="N172" s="208" t="s">
        <v>51</v>
      </c>
      <c r="O172" s="230">
        <f>0.1*O171/$C$171</f>
        <v>0.24154109154954087</v>
      </c>
      <c r="U172" s="407"/>
      <c r="V172" s="407"/>
      <c r="W172" s="408"/>
      <c r="X172" s="408"/>
      <c r="Y172" s="408"/>
      <c r="Z172" s="408"/>
    </row>
    <row r="173" spans="1:26" ht="12.9" customHeight="1">
      <c r="C173" s="277">
        <f>(C121^2+C161^2+C162^2+C163^2+C164^2+C165^2+C166^2+C167^2+C168^2+C169^2+C170^2)^0.5</f>
        <v>2.3011497126436606</v>
      </c>
      <c r="F173" s="206" t="s">
        <v>123</v>
      </c>
      <c r="G173" s="279" t="s">
        <v>91</v>
      </c>
      <c r="H173" s="280">
        <f>SUM(H161:H170)+H121</f>
        <v>2.3047</v>
      </c>
      <c r="N173" s="279" t="s">
        <v>91</v>
      </c>
      <c r="O173" s="280">
        <f>SUM(O161:O170)+O121</f>
        <v>2.3047</v>
      </c>
    </row>
    <row r="174" spans="1:26" ht="12.9" customHeight="1">
      <c r="G174" s="208" t="s">
        <v>51</v>
      </c>
      <c r="H174" s="230">
        <f>0.1*H173/$C$173</f>
        <v>0.10015428319751785</v>
      </c>
      <c r="N174" s="208" t="s">
        <v>51</v>
      </c>
      <c r="O174" s="230">
        <f>0.1*O173/$C$173</f>
        <v>0.10015428319751785</v>
      </c>
    </row>
  </sheetData>
  <mergeCells count="28">
    <mergeCell ref="B1:S1"/>
    <mergeCell ref="B2:E2"/>
    <mergeCell ref="F2:S2"/>
    <mergeCell ref="B3:C3"/>
    <mergeCell ref="D3:E3"/>
    <mergeCell ref="F3:L3"/>
    <mergeCell ref="M3:S3"/>
    <mergeCell ref="U3:V3"/>
    <mergeCell ref="W3:X3"/>
    <mergeCell ref="Y3:Z3"/>
    <mergeCell ref="B60:E60"/>
    <mergeCell ref="F60:S60"/>
    <mergeCell ref="Y119:Z119"/>
    <mergeCell ref="W61:X61"/>
    <mergeCell ref="Y61:Z61"/>
    <mergeCell ref="B118:E118"/>
    <mergeCell ref="F118:S118"/>
    <mergeCell ref="B119:C119"/>
    <mergeCell ref="D119:E119"/>
    <mergeCell ref="F119:L119"/>
    <mergeCell ref="M119:S119"/>
    <mergeCell ref="U119:V119"/>
    <mergeCell ref="W119:X119"/>
    <mergeCell ref="B61:C61"/>
    <mergeCell ref="D61:E61"/>
    <mergeCell ref="F61:L61"/>
    <mergeCell ref="M61:S61"/>
    <mergeCell ref="U61:V61"/>
  </mergeCells>
  <pageMargins left="0.7" right="0.7" top="0.75" bottom="0.75" header="0.3" footer="0.3"/>
  <pageSetup paperSize="9" orientation="portrait" r:id="rId1"/>
  <ignoredErrors>
    <ignoredError sqref="R10:R13 K10:K13 K68:O74 K126:O133 Q68:R74 Q126:R133" formula="1"/>
  </ignoredError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ayfa13">
    <tabColor rgb="FF00B050"/>
  </sheetPr>
  <dimension ref="A1:Z174"/>
  <sheetViews>
    <sheetView zoomScale="80" zoomScaleNormal="80" workbookViewId="0">
      <selection activeCell="T120" sqref="T120"/>
    </sheetView>
  </sheetViews>
  <sheetFormatPr defaultColWidth="9.109375" defaultRowHeight="11.4"/>
  <cols>
    <col min="1" max="1" width="5.5546875" style="206" bestFit="1" customWidth="1"/>
    <col min="2" max="2" width="9.5546875" style="206" customWidth="1"/>
    <col min="3" max="3" width="9.44140625" style="206" customWidth="1"/>
    <col min="4" max="4" width="11.109375" style="206" customWidth="1"/>
    <col min="5" max="5" width="12.109375" style="206" customWidth="1"/>
    <col min="6" max="6" width="16.6640625" style="206" customWidth="1"/>
    <col min="7" max="7" width="9.109375" style="206" customWidth="1"/>
    <col min="8" max="8" width="8.6640625" style="206" customWidth="1"/>
    <col min="9" max="9" width="9.109375" style="206" customWidth="1"/>
    <col min="10" max="10" width="9.109375" style="206" hidden="1" customWidth="1"/>
    <col min="11" max="11" width="7.33203125" style="206" customWidth="1"/>
    <col min="12" max="12" width="9.109375" style="206"/>
    <col min="13" max="13" width="14.88671875" style="206" customWidth="1"/>
    <col min="14" max="14" width="9.109375" style="206" customWidth="1"/>
    <col min="15" max="16" width="8.6640625" style="206" customWidth="1"/>
    <col min="17" max="17" width="9.109375" style="206" hidden="1" customWidth="1"/>
    <col min="18" max="18" width="7.33203125" style="206" customWidth="1"/>
    <col min="19" max="20" width="9.109375" style="206"/>
    <col min="21" max="21" width="11.33203125" style="206" customWidth="1"/>
    <col min="22" max="22" width="10" style="206" customWidth="1"/>
    <col min="23" max="23" width="9.109375" style="206"/>
    <col min="24" max="24" width="9.6640625" style="206" customWidth="1"/>
    <col min="25" max="16384" width="9.109375" style="206"/>
  </cols>
  <sheetData>
    <row r="1" spans="1:26" ht="16.2" thickBot="1">
      <c r="A1" s="332"/>
      <c r="B1" s="649" t="s">
        <v>71</v>
      </c>
      <c r="C1" s="650"/>
      <c r="D1" s="650"/>
      <c r="E1" s="650"/>
      <c r="F1" s="650"/>
      <c r="G1" s="650"/>
      <c r="H1" s="650"/>
      <c r="I1" s="650"/>
      <c r="J1" s="650"/>
      <c r="K1" s="650"/>
      <c r="L1" s="650"/>
      <c r="M1" s="650"/>
      <c r="N1" s="650"/>
      <c r="O1" s="650"/>
      <c r="P1" s="650"/>
      <c r="Q1" s="650"/>
      <c r="R1" s="650"/>
      <c r="S1" s="650"/>
      <c r="T1" s="332"/>
    </row>
    <row r="2" spans="1:26" s="77" customFormat="1" ht="15" customHeight="1" thickBot="1">
      <c r="B2" s="638" t="s">
        <v>44</v>
      </c>
      <c r="C2" s="639"/>
      <c r="D2" s="639"/>
      <c r="E2" s="640"/>
      <c r="F2" s="619" t="s">
        <v>45</v>
      </c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1"/>
    </row>
    <row r="3" spans="1:26" ht="15.75" customHeight="1" thickBot="1">
      <c r="B3" s="624" t="s">
        <v>69</v>
      </c>
      <c r="C3" s="625"/>
      <c r="D3" s="651" t="s">
        <v>77</v>
      </c>
      <c r="E3" s="625"/>
      <c r="F3" s="626" t="s">
        <v>47</v>
      </c>
      <c r="G3" s="627"/>
      <c r="H3" s="627"/>
      <c r="I3" s="627"/>
      <c r="J3" s="627"/>
      <c r="K3" s="627"/>
      <c r="L3" s="628"/>
      <c r="M3" s="627" t="s">
        <v>48</v>
      </c>
      <c r="N3" s="627"/>
      <c r="O3" s="627"/>
      <c r="P3" s="627"/>
      <c r="Q3" s="627"/>
      <c r="R3" s="627"/>
      <c r="S3" s="628"/>
      <c r="U3" s="614" t="s">
        <v>106</v>
      </c>
      <c r="V3" s="615"/>
      <c r="W3" s="612" t="s">
        <v>107</v>
      </c>
      <c r="X3" s="613"/>
      <c r="Y3" s="614" t="s">
        <v>108</v>
      </c>
      <c r="Z3" s="615"/>
    </row>
    <row r="4" spans="1:26" ht="24.6" thickBot="1">
      <c r="A4" s="223" t="s">
        <v>70</v>
      </c>
      <c r="B4" s="215" t="s">
        <v>10</v>
      </c>
      <c r="C4" s="217" t="s">
        <v>84</v>
      </c>
      <c r="D4" s="216" t="s">
        <v>74</v>
      </c>
      <c r="E4" s="217" t="s">
        <v>73</v>
      </c>
      <c r="F4" s="290" t="s">
        <v>96</v>
      </c>
      <c r="G4" s="291" t="s">
        <v>97</v>
      </c>
      <c r="H4" s="291" t="s">
        <v>98</v>
      </c>
      <c r="I4" s="219" t="s">
        <v>98</v>
      </c>
      <c r="J4" s="291" t="s">
        <v>99</v>
      </c>
      <c r="K4" s="291" t="s">
        <v>100</v>
      </c>
      <c r="L4" s="292" t="s">
        <v>72</v>
      </c>
      <c r="M4" s="304" t="s">
        <v>96</v>
      </c>
      <c r="N4" s="291" t="s">
        <v>97</v>
      </c>
      <c r="O4" s="291" t="s">
        <v>98</v>
      </c>
      <c r="P4" s="219" t="s">
        <v>98</v>
      </c>
      <c r="Q4" s="291" t="s">
        <v>99</v>
      </c>
      <c r="R4" s="291" t="s">
        <v>100</v>
      </c>
      <c r="S4" s="292" t="s">
        <v>72</v>
      </c>
      <c r="T4" s="540" t="s">
        <v>72</v>
      </c>
      <c r="U4" s="314" t="s">
        <v>104</v>
      </c>
      <c r="V4" s="315" t="s">
        <v>105</v>
      </c>
      <c r="W4" s="318" t="s">
        <v>47</v>
      </c>
      <c r="X4" s="455" t="s">
        <v>48</v>
      </c>
      <c r="Y4" s="314" t="s">
        <v>47</v>
      </c>
      <c r="Z4" s="315" t="s">
        <v>48</v>
      </c>
    </row>
    <row r="5" spans="1:26" ht="12.9" customHeight="1">
      <c r="A5" s="151">
        <f>50*B5</f>
        <v>50</v>
      </c>
      <c r="B5" s="513">
        <v>1</v>
      </c>
      <c r="C5" s="171">
        <f>FORMAT_HAR_V!C5</f>
        <v>20</v>
      </c>
      <c r="D5" s="521" t="e">
        <f>FORMAT_HAR_V!BX5</f>
        <v>#DIV/0!</v>
      </c>
      <c r="E5" s="385" t="e">
        <f>FORMAT_HAR_V!CA5</f>
        <v>#DIV/0!</v>
      </c>
      <c r="F5" s="377" t="e">
        <f>0.01*FORMAT_HAR_V!AK5*C5*1000</f>
        <v>#DIV/0!</v>
      </c>
      <c r="G5" s="294" t="e">
        <f>F5/10^0.5</f>
        <v>#DIV/0!</v>
      </c>
      <c r="H5" s="295">
        <f>1000*(0.000042*C5+0.0008)</f>
        <v>1.64</v>
      </c>
      <c r="I5" s="358">
        <f>1000*C5*$H$56*0.01</f>
        <v>59.306523318238554</v>
      </c>
      <c r="J5" s="296"/>
      <c r="K5" s="295">
        <f>1000*0.001/2</f>
        <v>0.5</v>
      </c>
      <c r="L5" s="297" t="e">
        <f>2*(G5^2+I5^2/4+J5^2/3+K5^2/3)^0.5</f>
        <v>#DIV/0!</v>
      </c>
      <c r="M5" s="293" t="e">
        <f>0.01*FORMAT_HAR_V!BU5*C5*1000</f>
        <v>#DIV/0!</v>
      </c>
      <c r="N5" s="294" t="e">
        <f>M5/10^0.5</f>
        <v>#DIV/0!</v>
      </c>
      <c r="O5" s="295">
        <f>1000*(0.000042*C5+0.0008)</f>
        <v>1.64</v>
      </c>
      <c r="P5" s="358">
        <f>1000*C5*$O$56*0.01</f>
        <v>59.306523318238554</v>
      </c>
      <c r="Q5" s="296"/>
      <c r="R5" s="295">
        <f>1000*0.001/2</f>
        <v>0.5</v>
      </c>
      <c r="S5" s="297" t="e">
        <f>2*(N5^2+P5^2/4+Q5^2/3+R5^2/3)^0.5</f>
        <v>#DIV/0!</v>
      </c>
      <c r="T5" s="535" t="e">
        <f>IF(S5&gt;L5,S5,L5)</f>
        <v>#DIV/0!</v>
      </c>
      <c r="U5" s="312">
        <f>0.005*C5*1000</f>
        <v>100</v>
      </c>
      <c r="V5" s="458">
        <f>0.05*C5*1000</f>
        <v>1000</v>
      </c>
      <c r="W5" s="319" t="e">
        <f>IF(ABS(D5)&lt;U5,TRUE,FALSE)</f>
        <v>#DIV/0!</v>
      </c>
      <c r="X5" s="467" t="e">
        <f>IF(ABS(E5)&lt;U5,TRUE,FALSE)</f>
        <v>#DIV/0!</v>
      </c>
      <c r="Y5" s="463" t="e">
        <f>IF(ABS(D5)&lt;V5,TRUE,FALSE)</f>
        <v>#DIV/0!</v>
      </c>
      <c r="Z5" s="316" t="e">
        <f>IF(ABS(E5)&lt;V5,TRUE,FALSE)</f>
        <v>#DIV/0!</v>
      </c>
    </row>
    <row r="6" spans="1:26" ht="12.9" customHeight="1">
      <c r="A6" s="152">
        <f t="shared" ref="A6:A54" si="0">50*B6</f>
        <v>100</v>
      </c>
      <c r="B6" s="514">
        <v>2</v>
      </c>
      <c r="C6" s="48">
        <f>FORMAT_HAR_V!C6</f>
        <v>9.3919999999999995</v>
      </c>
      <c r="D6" s="517" t="e">
        <f>FORMAT_HAR_V!BX6</f>
        <v>#DIV/0!</v>
      </c>
      <c r="E6" s="380" t="e">
        <f>FORMAT_HAR_V!CA6</f>
        <v>#DIV/0!</v>
      </c>
      <c r="F6" s="305" t="e">
        <f>0.01*FORMAT_HAR_V!AK6*C6*1000</f>
        <v>#DIV/0!</v>
      </c>
      <c r="G6" s="231" t="e">
        <f t="shared" ref="G6:G54" si="1">F6/10^0.5</f>
        <v>#DIV/0!</v>
      </c>
      <c r="H6" s="199">
        <f>1000*(0.00006*C6+0.0022)</f>
        <v>2.7635200000000002</v>
      </c>
      <c r="I6" s="358">
        <f t="shared" ref="I6:I44" si="2">1000*C6*$H$56*0.01</f>
        <v>27.85034335024482</v>
      </c>
      <c r="J6" s="276"/>
      <c r="K6" s="199">
        <f t="shared" ref="K6:K9" si="3">1000*0.001/2</f>
        <v>0.5</v>
      </c>
      <c r="L6" s="287" t="e">
        <f t="shared" ref="L6:L44" si="4">2*(G6^2+I6^2/4+J6^2/3+K6^2/3)^0.5</f>
        <v>#DIV/0!</v>
      </c>
      <c r="M6" s="286" t="e">
        <f>0.01*FORMAT_HAR_V!BU6*C6*1000</f>
        <v>#DIV/0!</v>
      </c>
      <c r="N6" s="231" t="e">
        <f t="shared" ref="N6:N44" si="5">M6/10^0.5</f>
        <v>#DIV/0!</v>
      </c>
      <c r="O6" s="199">
        <f>1000*(0.00006*C6+0.0022)</f>
        <v>2.7635200000000002</v>
      </c>
      <c r="P6" s="358">
        <f t="shared" ref="P6:P44" si="6">1000*C6*$O$56*0.01</f>
        <v>27.85034335024482</v>
      </c>
      <c r="Q6" s="276"/>
      <c r="R6" s="199">
        <f t="shared" ref="R6:R9" si="7">1000*0.001/2</f>
        <v>0.5</v>
      </c>
      <c r="S6" s="287" t="e">
        <f t="shared" ref="S6:S54" si="8">2*(N6^2+P6^2/4+Q6^2/3+R6^2/3)^0.5</f>
        <v>#DIV/0!</v>
      </c>
      <c r="T6" s="541" t="e">
        <f t="shared" ref="T6:T54" si="9">IF(S6&gt;L6,S6,L6)</f>
        <v>#DIV/0!</v>
      </c>
      <c r="U6" s="312">
        <f t="shared" ref="U6:U54" si="10">0.005*C6*1000</f>
        <v>46.96</v>
      </c>
      <c r="V6" s="458">
        <f t="shared" ref="V6:V37" si="11">0.05*C6*1000</f>
        <v>469.6</v>
      </c>
      <c r="W6" s="319" t="e">
        <f t="shared" ref="W6:W44" si="12">IF(ABS(D6)&lt;U6,TRUE,FALSE)</f>
        <v>#DIV/0!</v>
      </c>
      <c r="X6" s="467" t="e">
        <f t="shared" ref="X6:X44" si="13">IF(ABS(E6)&lt;U6,TRUE,FALSE)</f>
        <v>#DIV/0!</v>
      </c>
      <c r="Y6" s="463" t="e">
        <f t="shared" ref="Y6:Y44" si="14">IF(ABS(D6)&lt;V6,TRUE,FALSE)</f>
        <v>#DIV/0!</v>
      </c>
      <c r="Z6" s="316" t="e">
        <f t="shared" ref="Z6:Z44" si="15">IF(ABS(E6)&lt;V6,TRUE,FALSE)</f>
        <v>#DIV/0!</v>
      </c>
    </row>
    <row r="7" spans="1:26" ht="12.9" customHeight="1">
      <c r="A7" s="152">
        <f t="shared" si="0"/>
        <v>150</v>
      </c>
      <c r="B7" s="514">
        <v>3</v>
      </c>
      <c r="C7" s="48">
        <f>FORMAT_HAR_V!C7</f>
        <v>20</v>
      </c>
      <c r="D7" s="517" t="e">
        <f>FORMAT_HAR_V!BX7</f>
        <v>#DIV/0!</v>
      </c>
      <c r="E7" s="380" t="e">
        <f>FORMAT_HAR_V!CA7</f>
        <v>#DIV/0!</v>
      </c>
      <c r="F7" s="305" t="e">
        <f>0.01*FORMAT_HAR_V!AK7*C7*1000</f>
        <v>#DIV/0!</v>
      </c>
      <c r="G7" s="231" t="e">
        <f t="shared" si="1"/>
        <v>#DIV/0!</v>
      </c>
      <c r="H7" s="199">
        <f t="shared" ref="H7:H21" si="16">1000*(0.00006*C7+0.0022)</f>
        <v>3.4000000000000004</v>
      </c>
      <c r="I7" s="358">
        <f t="shared" si="2"/>
        <v>59.306523318238554</v>
      </c>
      <c r="J7" s="276"/>
      <c r="K7" s="199">
        <f t="shared" si="3"/>
        <v>0.5</v>
      </c>
      <c r="L7" s="287" t="e">
        <f t="shared" si="4"/>
        <v>#DIV/0!</v>
      </c>
      <c r="M7" s="286" t="e">
        <f>0.01*FORMAT_HAR_V!BU7*C7*1000</f>
        <v>#DIV/0!</v>
      </c>
      <c r="N7" s="231" t="e">
        <f t="shared" si="5"/>
        <v>#DIV/0!</v>
      </c>
      <c r="O7" s="199">
        <f t="shared" ref="O7:O21" si="17">1000*(0.00006*C7+0.0022)</f>
        <v>3.4000000000000004</v>
      </c>
      <c r="P7" s="358">
        <f t="shared" si="6"/>
        <v>59.306523318238554</v>
      </c>
      <c r="Q7" s="276"/>
      <c r="R7" s="199">
        <f t="shared" si="7"/>
        <v>0.5</v>
      </c>
      <c r="S7" s="287" t="e">
        <f t="shared" si="8"/>
        <v>#DIV/0!</v>
      </c>
      <c r="T7" s="541" t="e">
        <f t="shared" si="9"/>
        <v>#DIV/0!</v>
      </c>
      <c r="U7" s="312">
        <f t="shared" si="10"/>
        <v>100</v>
      </c>
      <c r="V7" s="458">
        <f t="shared" si="11"/>
        <v>1000</v>
      </c>
      <c r="W7" s="319" t="e">
        <f t="shared" si="12"/>
        <v>#DIV/0!</v>
      </c>
      <c r="X7" s="467" t="e">
        <f t="shared" si="13"/>
        <v>#DIV/0!</v>
      </c>
      <c r="Y7" s="463" t="e">
        <f t="shared" si="14"/>
        <v>#DIV/0!</v>
      </c>
      <c r="Z7" s="316" t="e">
        <f t="shared" si="15"/>
        <v>#DIV/0!</v>
      </c>
    </row>
    <row r="8" spans="1:26" ht="12.9" customHeight="1">
      <c r="A8" s="152">
        <f t="shared" si="0"/>
        <v>200</v>
      </c>
      <c r="B8" s="514">
        <v>4</v>
      </c>
      <c r="C8" s="48">
        <f>FORMAT_HAR_V!C8</f>
        <v>3.74</v>
      </c>
      <c r="D8" s="517" t="e">
        <f>FORMAT_HAR_V!BX8</f>
        <v>#DIV/0!</v>
      </c>
      <c r="E8" s="380" t="e">
        <f>FORMAT_HAR_V!CA8</f>
        <v>#DIV/0!</v>
      </c>
      <c r="F8" s="305" t="e">
        <f>0.01*FORMAT_HAR_V!AK8*C8*1000</f>
        <v>#DIV/0!</v>
      </c>
      <c r="G8" s="231" t="e">
        <f t="shared" si="1"/>
        <v>#DIV/0!</v>
      </c>
      <c r="H8" s="199">
        <f t="shared" si="16"/>
        <v>2.4244000000000003</v>
      </c>
      <c r="I8" s="358">
        <f t="shared" si="2"/>
        <v>11.090319860510608</v>
      </c>
      <c r="J8" s="276"/>
      <c r="K8" s="199">
        <f>1000*0.0001/2</f>
        <v>0.05</v>
      </c>
      <c r="L8" s="287" t="e">
        <f t="shared" si="4"/>
        <v>#DIV/0!</v>
      </c>
      <c r="M8" s="286" t="e">
        <f>0.01*FORMAT_HAR_V!BU8*C8*1000</f>
        <v>#DIV/0!</v>
      </c>
      <c r="N8" s="231" t="e">
        <f t="shared" si="5"/>
        <v>#DIV/0!</v>
      </c>
      <c r="O8" s="199">
        <f t="shared" si="17"/>
        <v>2.4244000000000003</v>
      </c>
      <c r="P8" s="358">
        <f t="shared" si="6"/>
        <v>11.090319860510608</v>
      </c>
      <c r="Q8" s="276"/>
      <c r="R8" s="199">
        <f>1000*0.0001/2</f>
        <v>0.05</v>
      </c>
      <c r="S8" s="287" t="e">
        <f t="shared" si="8"/>
        <v>#DIV/0!</v>
      </c>
      <c r="T8" s="541" t="e">
        <f t="shared" si="9"/>
        <v>#DIV/0!</v>
      </c>
      <c r="U8" s="312">
        <f t="shared" si="10"/>
        <v>18.700000000000003</v>
      </c>
      <c r="V8" s="458">
        <f t="shared" si="11"/>
        <v>187.00000000000003</v>
      </c>
      <c r="W8" s="319" t="e">
        <f t="shared" si="12"/>
        <v>#DIV/0!</v>
      </c>
      <c r="X8" s="467" t="e">
        <f t="shared" si="13"/>
        <v>#DIV/0!</v>
      </c>
      <c r="Y8" s="463" t="e">
        <f t="shared" si="14"/>
        <v>#DIV/0!</v>
      </c>
      <c r="Z8" s="316" t="e">
        <f t="shared" si="15"/>
        <v>#DIV/0!</v>
      </c>
    </row>
    <row r="9" spans="1:26" ht="12.9" customHeight="1">
      <c r="A9" s="152">
        <f t="shared" si="0"/>
        <v>250</v>
      </c>
      <c r="B9" s="514">
        <v>5</v>
      </c>
      <c r="C9" s="48">
        <f>FORMAT_HAR_V!C9</f>
        <v>9.9139999999999997</v>
      </c>
      <c r="D9" s="517" t="e">
        <f>FORMAT_HAR_V!BX9</f>
        <v>#DIV/0!</v>
      </c>
      <c r="E9" s="380" t="e">
        <f>FORMAT_HAR_V!CA9</f>
        <v>#DIV/0!</v>
      </c>
      <c r="F9" s="305" t="e">
        <f>0.01*FORMAT_HAR_V!AK9*C9*1000</f>
        <v>#DIV/0!</v>
      </c>
      <c r="G9" s="231" t="e">
        <f t="shared" si="1"/>
        <v>#DIV/0!</v>
      </c>
      <c r="H9" s="199">
        <f t="shared" si="16"/>
        <v>2.7948400000000002</v>
      </c>
      <c r="I9" s="358">
        <f t="shared" si="2"/>
        <v>29.398243608850848</v>
      </c>
      <c r="J9" s="276"/>
      <c r="K9" s="199">
        <f t="shared" si="3"/>
        <v>0.5</v>
      </c>
      <c r="L9" s="287" t="e">
        <f t="shared" si="4"/>
        <v>#DIV/0!</v>
      </c>
      <c r="M9" s="286" t="e">
        <f>0.01*FORMAT_HAR_V!BU9*C9*1000</f>
        <v>#DIV/0!</v>
      </c>
      <c r="N9" s="231" t="e">
        <f t="shared" si="5"/>
        <v>#DIV/0!</v>
      </c>
      <c r="O9" s="199">
        <f t="shared" si="17"/>
        <v>2.7948400000000002</v>
      </c>
      <c r="P9" s="358">
        <f t="shared" si="6"/>
        <v>29.398243608850848</v>
      </c>
      <c r="Q9" s="276"/>
      <c r="R9" s="199">
        <f t="shared" si="7"/>
        <v>0.5</v>
      </c>
      <c r="S9" s="287" t="e">
        <f t="shared" si="8"/>
        <v>#DIV/0!</v>
      </c>
      <c r="T9" s="541" t="e">
        <f t="shared" si="9"/>
        <v>#DIV/0!</v>
      </c>
      <c r="U9" s="312">
        <f t="shared" si="10"/>
        <v>49.57</v>
      </c>
      <c r="V9" s="458">
        <f t="shared" si="11"/>
        <v>495.70000000000005</v>
      </c>
      <c r="W9" s="319" t="e">
        <f t="shared" si="12"/>
        <v>#DIV/0!</v>
      </c>
      <c r="X9" s="467" t="e">
        <f t="shared" si="13"/>
        <v>#DIV/0!</v>
      </c>
      <c r="Y9" s="463" t="e">
        <f t="shared" si="14"/>
        <v>#DIV/0!</v>
      </c>
      <c r="Z9" s="316" t="e">
        <f t="shared" si="15"/>
        <v>#DIV/0!</v>
      </c>
    </row>
    <row r="10" spans="1:26" ht="12.9" customHeight="1">
      <c r="A10" s="152">
        <f t="shared" si="0"/>
        <v>300</v>
      </c>
      <c r="B10" s="514">
        <v>6</v>
      </c>
      <c r="C10" s="48">
        <f>FORMAT_HAR_V!C10</f>
        <v>2.6080000000000001</v>
      </c>
      <c r="D10" s="518" t="e">
        <f>FORMAT_HAR_V!BX10</f>
        <v>#DIV/0!</v>
      </c>
      <c r="E10" s="381" t="e">
        <f>FORMAT_HAR_V!CA10</f>
        <v>#DIV/0!</v>
      </c>
      <c r="F10" s="305" t="e">
        <f>0.01*FORMAT_HAR_V!AK10*C10*1000</f>
        <v>#DIV/0!</v>
      </c>
      <c r="G10" s="231" t="e">
        <f t="shared" si="1"/>
        <v>#DIV/0!</v>
      </c>
      <c r="H10" s="199">
        <f t="shared" si="16"/>
        <v>2.3564800000000004</v>
      </c>
      <c r="I10" s="358">
        <f t="shared" si="2"/>
        <v>7.7335706406983071</v>
      </c>
      <c r="J10" s="276"/>
      <c r="K10" s="199">
        <f>1000*0.0001/2</f>
        <v>0.05</v>
      </c>
      <c r="L10" s="288" t="e">
        <f t="shared" si="4"/>
        <v>#DIV/0!</v>
      </c>
      <c r="M10" s="286" t="e">
        <f>0.01*FORMAT_HAR_V!BU10*C10*1000</f>
        <v>#DIV/0!</v>
      </c>
      <c r="N10" s="231" t="e">
        <f t="shared" si="5"/>
        <v>#DIV/0!</v>
      </c>
      <c r="O10" s="199">
        <f t="shared" si="17"/>
        <v>2.3564800000000004</v>
      </c>
      <c r="P10" s="358">
        <f t="shared" si="6"/>
        <v>7.7335706406983071</v>
      </c>
      <c r="Q10" s="276"/>
      <c r="R10" s="199">
        <f>1000*0.0001/2</f>
        <v>0.05</v>
      </c>
      <c r="S10" s="288" t="e">
        <f t="shared" si="8"/>
        <v>#DIV/0!</v>
      </c>
      <c r="T10" s="541" t="e">
        <f t="shared" si="9"/>
        <v>#DIV/0!</v>
      </c>
      <c r="U10" s="312">
        <f t="shared" si="10"/>
        <v>13.040000000000001</v>
      </c>
      <c r="V10" s="458">
        <f t="shared" si="11"/>
        <v>130.4</v>
      </c>
      <c r="W10" s="319" t="e">
        <f t="shared" si="12"/>
        <v>#DIV/0!</v>
      </c>
      <c r="X10" s="467" t="e">
        <f t="shared" si="13"/>
        <v>#DIV/0!</v>
      </c>
      <c r="Y10" s="463" t="e">
        <f t="shared" si="14"/>
        <v>#DIV/0!</v>
      </c>
      <c r="Z10" s="316" t="e">
        <f t="shared" si="15"/>
        <v>#DIV/0!</v>
      </c>
    </row>
    <row r="11" spans="1:26" ht="12.9" customHeight="1">
      <c r="A11" s="152">
        <f t="shared" si="0"/>
        <v>350</v>
      </c>
      <c r="B11" s="514">
        <v>7</v>
      </c>
      <c r="C11" s="48">
        <f>FORMAT_HAR_V!C11</f>
        <v>6.6959999999999997</v>
      </c>
      <c r="D11" s="517" t="e">
        <f>FORMAT_HAR_V!BX11</f>
        <v>#DIV/0!</v>
      </c>
      <c r="E11" s="380" t="e">
        <f>FORMAT_HAR_V!CA11</f>
        <v>#DIV/0!</v>
      </c>
      <c r="F11" s="305" t="e">
        <f>0.01*FORMAT_HAR_V!AK11*C11*1000</f>
        <v>#DIV/0!</v>
      </c>
      <c r="G11" s="231" t="e">
        <f t="shared" si="1"/>
        <v>#DIV/0!</v>
      </c>
      <c r="H11" s="199">
        <f t="shared" si="16"/>
        <v>2.6017600000000001</v>
      </c>
      <c r="I11" s="358">
        <f t="shared" si="2"/>
        <v>19.855824006946268</v>
      </c>
      <c r="J11" s="276"/>
      <c r="K11" s="199">
        <f>1000*0.0001/2</f>
        <v>0.05</v>
      </c>
      <c r="L11" s="287" t="e">
        <f t="shared" si="4"/>
        <v>#DIV/0!</v>
      </c>
      <c r="M11" s="286" t="e">
        <f>0.01*FORMAT_HAR_V!BU11*C11*1000</f>
        <v>#DIV/0!</v>
      </c>
      <c r="N11" s="231" t="e">
        <f t="shared" si="5"/>
        <v>#DIV/0!</v>
      </c>
      <c r="O11" s="199">
        <f t="shared" si="17"/>
        <v>2.6017600000000001</v>
      </c>
      <c r="P11" s="358">
        <f t="shared" si="6"/>
        <v>19.855824006946268</v>
      </c>
      <c r="Q11" s="276"/>
      <c r="R11" s="199">
        <f>1000*0.0001/2</f>
        <v>0.05</v>
      </c>
      <c r="S11" s="287" t="e">
        <f t="shared" si="8"/>
        <v>#DIV/0!</v>
      </c>
      <c r="T11" s="541" t="e">
        <f t="shared" si="9"/>
        <v>#DIV/0!</v>
      </c>
      <c r="U11" s="312">
        <f t="shared" si="10"/>
        <v>33.480000000000004</v>
      </c>
      <c r="V11" s="458">
        <f t="shared" si="11"/>
        <v>334.8</v>
      </c>
      <c r="W11" s="319" t="e">
        <f t="shared" si="12"/>
        <v>#DIV/0!</v>
      </c>
      <c r="X11" s="467" t="e">
        <f t="shared" si="13"/>
        <v>#DIV/0!</v>
      </c>
      <c r="Y11" s="463" t="e">
        <f t="shared" si="14"/>
        <v>#DIV/0!</v>
      </c>
      <c r="Z11" s="316" t="e">
        <f t="shared" si="15"/>
        <v>#DIV/0!</v>
      </c>
    </row>
    <row r="12" spans="1:26" ht="12.9" customHeight="1">
      <c r="A12" s="152">
        <f t="shared" si="0"/>
        <v>400</v>
      </c>
      <c r="B12" s="514">
        <v>8</v>
      </c>
      <c r="C12" s="48">
        <f>FORMAT_HAR_V!C12</f>
        <v>2</v>
      </c>
      <c r="D12" s="518" t="e">
        <f>FORMAT_HAR_V!BX12</f>
        <v>#DIV/0!</v>
      </c>
      <c r="E12" s="381" t="e">
        <f>FORMAT_HAR_V!CA12</f>
        <v>#DIV/0!</v>
      </c>
      <c r="F12" s="305" t="e">
        <f>0.01*FORMAT_HAR_V!AK12*C12*1000</f>
        <v>#DIV/0!</v>
      </c>
      <c r="G12" s="231" t="e">
        <f t="shared" si="1"/>
        <v>#DIV/0!</v>
      </c>
      <c r="H12" s="199">
        <f t="shared" si="16"/>
        <v>2.3199999999999998</v>
      </c>
      <c r="I12" s="358">
        <f t="shared" si="2"/>
        <v>5.9306523318238549</v>
      </c>
      <c r="J12" s="276"/>
      <c r="K12" s="199">
        <f t="shared" ref="K12:K25" si="18">1000*0.0001/2</f>
        <v>0.05</v>
      </c>
      <c r="L12" s="288" t="e">
        <f t="shared" si="4"/>
        <v>#DIV/0!</v>
      </c>
      <c r="M12" s="286" t="e">
        <f>0.01*FORMAT_HAR_V!BU12*C12*1000</f>
        <v>#DIV/0!</v>
      </c>
      <c r="N12" s="231" t="e">
        <f t="shared" si="5"/>
        <v>#DIV/0!</v>
      </c>
      <c r="O12" s="199">
        <f t="shared" si="17"/>
        <v>2.3199999999999998</v>
      </c>
      <c r="P12" s="358">
        <f t="shared" si="6"/>
        <v>5.9306523318238549</v>
      </c>
      <c r="Q12" s="276"/>
      <c r="R12" s="199">
        <f t="shared" ref="R12:R25" si="19">1000*0.0001/2</f>
        <v>0.05</v>
      </c>
      <c r="S12" s="288" t="e">
        <f t="shared" si="8"/>
        <v>#DIV/0!</v>
      </c>
      <c r="T12" s="541" t="e">
        <f t="shared" si="9"/>
        <v>#DIV/0!</v>
      </c>
      <c r="U12" s="312">
        <f t="shared" si="10"/>
        <v>10</v>
      </c>
      <c r="V12" s="458">
        <f t="shared" si="11"/>
        <v>100</v>
      </c>
      <c r="W12" s="319" t="e">
        <f t="shared" si="12"/>
        <v>#DIV/0!</v>
      </c>
      <c r="X12" s="467" t="e">
        <f t="shared" si="13"/>
        <v>#DIV/0!</v>
      </c>
      <c r="Y12" s="463" t="e">
        <f t="shared" si="14"/>
        <v>#DIV/0!</v>
      </c>
      <c r="Z12" s="316" t="e">
        <f t="shared" si="15"/>
        <v>#DIV/0!</v>
      </c>
    </row>
    <row r="13" spans="1:26" ht="12.9" customHeight="1">
      <c r="A13" s="152">
        <f t="shared" si="0"/>
        <v>450</v>
      </c>
      <c r="B13" s="514">
        <v>9</v>
      </c>
      <c r="C13" s="48">
        <f>FORMAT_HAR_V!C13</f>
        <v>3.4780000000000002</v>
      </c>
      <c r="D13" s="517" t="e">
        <f>FORMAT_HAR_V!BX13</f>
        <v>#DIV/0!</v>
      </c>
      <c r="E13" s="380" t="e">
        <f>FORMAT_HAR_V!CA13</f>
        <v>#DIV/0!</v>
      </c>
      <c r="F13" s="305" t="e">
        <f>0.01*FORMAT_HAR_V!AK13*C13*1000</f>
        <v>#DIV/0!</v>
      </c>
      <c r="G13" s="231" t="e">
        <f t="shared" si="1"/>
        <v>#DIV/0!</v>
      </c>
      <c r="H13" s="199">
        <f t="shared" si="16"/>
        <v>2.4086800000000004</v>
      </c>
      <c r="I13" s="358">
        <f t="shared" si="2"/>
        <v>10.313404405041684</v>
      </c>
      <c r="J13" s="276"/>
      <c r="K13" s="199">
        <f t="shared" si="18"/>
        <v>0.05</v>
      </c>
      <c r="L13" s="287" t="e">
        <f t="shared" si="4"/>
        <v>#DIV/0!</v>
      </c>
      <c r="M13" s="286" t="e">
        <f>0.01*FORMAT_HAR_V!BU13*C13*1000</f>
        <v>#DIV/0!</v>
      </c>
      <c r="N13" s="231" t="e">
        <f t="shared" si="5"/>
        <v>#DIV/0!</v>
      </c>
      <c r="O13" s="199">
        <f t="shared" si="17"/>
        <v>2.4086800000000004</v>
      </c>
      <c r="P13" s="358">
        <f t="shared" si="6"/>
        <v>10.313404405041684</v>
      </c>
      <c r="Q13" s="276"/>
      <c r="R13" s="199">
        <f t="shared" si="19"/>
        <v>0.05</v>
      </c>
      <c r="S13" s="287" t="e">
        <f t="shared" si="8"/>
        <v>#DIV/0!</v>
      </c>
      <c r="T13" s="541" t="e">
        <f t="shared" si="9"/>
        <v>#DIV/0!</v>
      </c>
      <c r="U13" s="312">
        <f t="shared" si="10"/>
        <v>17.390000000000004</v>
      </c>
      <c r="V13" s="458">
        <f t="shared" si="11"/>
        <v>173.90000000000003</v>
      </c>
      <c r="W13" s="319" t="e">
        <f t="shared" si="12"/>
        <v>#DIV/0!</v>
      </c>
      <c r="X13" s="467" t="e">
        <f t="shared" si="13"/>
        <v>#DIV/0!</v>
      </c>
      <c r="Y13" s="463" t="e">
        <f t="shared" si="14"/>
        <v>#DIV/0!</v>
      </c>
      <c r="Z13" s="316" t="e">
        <f t="shared" si="15"/>
        <v>#DIV/0!</v>
      </c>
    </row>
    <row r="14" spans="1:26" ht="12.9" customHeight="1">
      <c r="A14" s="152">
        <f t="shared" si="0"/>
        <v>500</v>
      </c>
      <c r="B14" s="514">
        <v>10</v>
      </c>
      <c r="C14" s="48">
        <f>FORMAT_HAR_V!C14</f>
        <v>1.6</v>
      </c>
      <c r="D14" s="518" t="e">
        <f>FORMAT_HAR_V!BX14</f>
        <v>#DIV/0!</v>
      </c>
      <c r="E14" s="381" t="e">
        <f>FORMAT_HAR_V!CA14</f>
        <v>#DIV/0!</v>
      </c>
      <c r="F14" s="305" t="e">
        <f>0.01*FORMAT_HAR_V!AK14*C14*1000</f>
        <v>#DIV/0!</v>
      </c>
      <c r="G14" s="231" t="e">
        <f t="shared" si="1"/>
        <v>#DIV/0!</v>
      </c>
      <c r="H14" s="199">
        <f t="shared" si="16"/>
        <v>2.2960000000000003</v>
      </c>
      <c r="I14" s="358">
        <f t="shared" si="2"/>
        <v>4.7445218654590837</v>
      </c>
      <c r="J14" s="276"/>
      <c r="K14" s="199">
        <f t="shared" si="18"/>
        <v>0.05</v>
      </c>
      <c r="L14" s="288" t="e">
        <f t="shared" si="4"/>
        <v>#DIV/0!</v>
      </c>
      <c r="M14" s="286" t="e">
        <f>0.01*FORMAT_HAR_V!BU14*C14*1000</f>
        <v>#DIV/0!</v>
      </c>
      <c r="N14" s="231" t="e">
        <f t="shared" si="5"/>
        <v>#DIV/0!</v>
      </c>
      <c r="O14" s="199">
        <f t="shared" si="17"/>
        <v>2.2960000000000003</v>
      </c>
      <c r="P14" s="358">
        <f t="shared" si="6"/>
        <v>4.7445218654590837</v>
      </c>
      <c r="Q14" s="276"/>
      <c r="R14" s="199">
        <f t="shared" si="19"/>
        <v>0.05</v>
      </c>
      <c r="S14" s="288" t="e">
        <f t="shared" si="8"/>
        <v>#DIV/0!</v>
      </c>
      <c r="T14" s="541" t="e">
        <f t="shared" si="9"/>
        <v>#DIV/0!</v>
      </c>
      <c r="U14" s="312">
        <f t="shared" si="10"/>
        <v>8</v>
      </c>
      <c r="V14" s="458">
        <f t="shared" si="11"/>
        <v>80.000000000000014</v>
      </c>
      <c r="W14" s="319" t="e">
        <f t="shared" si="12"/>
        <v>#DIV/0!</v>
      </c>
      <c r="X14" s="467" t="e">
        <f t="shared" si="13"/>
        <v>#DIV/0!</v>
      </c>
      <c r="Y14" s="463" t="e">
        <f t="shared" si="14"/>
        <v>#DIV/0!</v>
      </c>
      <c r="Z14" s="316" t="e">
        <f t="shared" si="15"/>
        <v>#DIV/0!</v>
      </c>
    </row>
    <row r="15" spans="1:26" ht="12.9" customHeight="1">
      <c r="A15" s="152">
        <f t="shared" si="0"/>
        <v>550</v>
      </c>
      <c r="B15" s="514">
        <v>11</v>
      </c>
      <c r="C15" s="48">
        <f>FORMAT_HAR_V!C15</f>
        <v>2.87</v>
      </c>
      <c r="D15" s="518" t="e">
        <f>FORMAT_HAR_V!BX15</f>
        <v>#DIV/0!</v>
      </c>
      <c r="E15" s="381" t="e">
        <f>FORMAT_HAR_V!CA15</f>
        <v>#DIV/0!</v>
      </c>
      <c r="F15" s="305" t="e">
        <f>0.01*FORMAT_HAR_V!AK15*C15*1000</f>
        <v>#DIV/0!</v>
      </c>
      <c r="G15" s="231" t="e">
        <f t="shared" si="1"/>
        <v>#DIV/0!</v>
      </c>
      <c r="H15" s="199">
        <f t="shared" si="16"/>
        <v>2.3722000000000003</v>
      </c>
      <c r="I15" s="358">
        <f t="shared" si="2"/>
        <v>8.5104860961672326</v>
      </c>
      <c r="J15" s="276"/>
      <c r="K15" s="199">
        <f t="shared" si="18"/>
        <v>0.05</v>
      </c>
      <c r="L15" s="288" t="e">
        <f t="shared" si="4"/>
        <v>#DIV/0!</v>
      </c>
      <c r="M15" s="286" t="e">
        <f>0.01*FORMAT_HAR_V!BU15*C15*1000</f>
        <v>#DIV/0!</v>
      </c>
      <c r="N15" s="231" t="e">
        <f t="shared" si="5"/>
        <v>#DIV/0!</v>
      </c>
      <c r="O15" s="199">
        <f t="shared" si="17"/>
        <v>2.3722000000000003</v>
      </c>
      <c r="P15" s="358">
        <f t="shared" si="6"/>
        <v>8.5104860961672326</v>
      </c>
      <c r="Q15" s="276"/>
      <c r="R15" s="199">
        <f t="shared" si="19"/>
        <v>0.05</v>
      </c>
      <c r="S15" s="288" t="e">
        <f t="shared" si="8"/>
        <v>#DIV/0!</v>
      </c>
      <c r="T15" s="541" t="e">
        <f t="shared" si="9"/>
        <v>#DIV/0!</v>
      </c>
      <c r="U15" s="312">
        <f t="shared" si="10"/>
        <v>14.350000000000001</v>
      </c>
      <c r="V15" s="458">
        <f t="shared" si="11"/>
        <v>143.50000000000003</v>
      </c>
      <c r="W15" s="319" t="e">
        <f t="shared" si="12"/>
        <v>#DIV/0!</v>
      </c>
      <c r="X15" s="467" t="e">
        <f t="shared" si="13"/>
        <v>#DIV/0!</v>
      </c>
      <c r="Y15" s="463" t="e">
        <f t="shared" si="14"/>
        <v>#DIV/0!</v>
      </c>
      <c r="Z15" s="316" t="e">
        <f t="shared" si="15"/>
        <v>#DIV/0!</v>
      </c>
    </row>
    <row r="16" spans="1:26" ht="12.9" customHeight="1">
      <c r="A16" s="152">
        <f t="shared" si="0"/>
        <v>600</v>
      </c>
      <c r="B16" s="514">
        <v>12</v>
      </c>
      <c r="C16" s="48">
        <f>FORMAT_HAR_V!C16</f>
        <v>1.3340000000000001</v>
      </c>
      <c r="D16" s="518" t="e">
        <f>FORMAT_HAR_V!BX16</f>
        <v>#DIV/0!</v>
      </c>
      <c r="E16" s="381" t="e">
        <f>FORMAT_HAR_V!CA16</f>
        <v>#DIV/0!</v>
      </c>
      <c r="F16" s="305" t="e">
        <f>0.01*FORMAT_HAR_V!AK16*C16*1000</f>
        <v>#DIV/0!</v>
      </c>
      <c r="G16" s="231" t="e">
        <f t="shared" si="1"/>
        <v>#DIV/0!</v>
      </c>
      <c r="H16" s="199">
        <f t="shared" si="16"/>
        <v>2.2800400000000001</v>
      </c>
      <c r="I16" s="358">
        <f t="shared" si="2"/>
        <v>3.9557451053265114</v>
      </c>
      <c r="J16" s="276"/>
      <c r="K16" s="199">
        <f t="shared" si="18"/>
        <v>0.05</v>
      </c>
      <c r="L16" s="288" t="e">
        <f t="shared" si="4"/>
        <v>#DIV/0!</v>
      </c>
      <c r="M16" s="286" t="e">
        <f>0.01*FORMAT_HAR_V!BU16*C16*1000</f>
        <v>#DIV/0!</v>
      </c>
      <c r="N16" s="231" t="e">
        <f t="shared" si="5"/>
        <v>#DIV/0!</v>
      </c>
      <c r="O16" s="199">
        <f t="shared" si="17"/>
        <v>2.2800400000000001</v>
      </c>
      <c r="P16" s="358">
        <f t="shared" si="6"/>
        <v>3.9557451053265114</v>
      </c>
      <c r="Q16" s="276"/>
      <c r="R16" s="199">
        <f t="shared" si="19"/>
        <v>0.05</v>
      </c>
      <c r="S16" s="288" t="e">
        <f t="shared" si="8"/>
        <v>#DIV/0!</v>
      </c>
      <c r="T16" s="541" t="e">
        <f t="shared" si="9"/>
        <v>#DIV/0!</v>
      </c>
      <c r="U16" s="312">
        <f t="shared" si="10"/>
        <v>6.6700000000000008</v>
      </c>
      <c r="V16" s="458">
        <f t="shared" si="11"/>
        <v>66.7</v>
      </c>
      <c r="W16" s="319" t="e">
        <f t="shared" si="12"/>
        <v>#DIV/0!</v>
      </c>
      <c r="X16" s="467" t="e">
        <f t="shared" si="13"/>
        <v>#DIV/0!</v>
      </c>
      <c r="Y16" s="463" t="e">
        <f t="shared" si="14"/>
        <v>#DIV/0!</v>
      </c>
      <c r="Z16" s="316" t="e">
        <f t="shared" si="15"/>
        <v>#DIV/0!</v>
      </c>
    </row>
    <row r="17" spans="1:26" ht="12.9" customHeight="1">
      <c r="A17" s="152">
        <f t="shared" si="0"/>
        <v>650</v>
      </c>
      <c r="B17" s="514">
        <v>13</v>
      </c>
      <c r="C17" s="48">
        <f>FORMAT_HAR_V!C17</f>
        <v>1.8260000000000001</v>
      </c>
      <c r="D17" s="518" t="e">
        <f>FORMAT_HAR_V!BX17</f>
        <v>#DIV/0!</v>
      </c>
      <c r="E17" s="381" t="e">
        <f>FORMAT_HAR_V!CA17</f>
        <v>#DIV/0!</v>
      </c>
      <c r="F17" s="305" t="e">
        <f>0.01*FORMAT_HAR_V!AK17*C17*1000</f>
        <v>#DIV/0!</v>
      </c>
      <c r="G17" s="231" t="e">
        <f t="shared" si="1"/>
        <v>#DIV/0!</v>
      </c>
      <c r="H17" s="199">
        <f t="shared" si="16"/>
        <v>2.3095599999999998</v>
      </c>
      <c r="I17" s="358">
        <f t="shared" si="2"/>
        <v>5.4146855789551793</v>
      </c>
      <c r="J17" s="276"/>
      <c r="K17" s="199">
        <f t="shared" si="18"/>
        <v>0.05</v>
      </c>
      <c r="L17" s="288" t="e">
        <f t="shared" si="4"/>
        <v>#DIV/0!</v>
      </c>
      <c r="M17" s="286" t="e">
        <f>0.01*FORMAT_HAR_V!BU17*C17*1000</f>
        <v>#DIV/0!</v>
      </c>
      <c r="N17" s="231" t="e">
        <f t="shared" si="5"/>
        <v>#DIV/0!</v>
      </c>
      <c r="O17" s="199">
        <f t="shared" si="17"/>
        <v>2.3095599999999998</v>
      </c>
      <c r="P17" s="358">
        <f t="shared" si="6"/>
        <v>5.4146855789551793</v>
      </c>
      <c r="Q17" s="276"/>
      <c r="R17" s="199">
        <f t="shared" si="19"/>
        <v>0.05</v>
      </c>
      <c r="S17" s="288" t="e">
        <f t="shared" si="8"/>
        <v>#DIV/0!</v>
      </c>
      <c r="T17" s="541" t="e">
        <f t="shared" si="9"/>
        <v>#DIV/0!</v>
      </c>
      <c r="U17" s="312">
        <f t="shared" si="10"/>
        <v>9.1300000000000008</v>
      </c>
      <c r="V17" s="458">
        <f t="shared" si="11"/>
        <v>91.300000000000011</v>
      </c>
      <c r="W17" s="319" t="e">
        <f t="shared" si="12"/>
        <v>#DIV/0!</v>
      </c>
      <c r="X17" s="467" t="e">
        <f t="shared" si="13"/>
        <v>#DIV/0!</v>
      </c>
      <c r="Y17" s="463" t="e">
        <f t="shared" si="14"/>
        <v>#DIV/0!</v>
      </c>
      <c r="Z17" s="316" t="e">
        <f t="shared" si="15"/>
        <v>#DIV/0!</v>
      </c>
    </row>
    <row r="18" spans="1:26" ht="12.9" customHeight="1">
      <c r="A18" s="152">
        <f t="shared" si="0"/>
        <v>700</v>
      </c>
      <c r="B18" s="514">
        <v>14</v>
      </c>
      <c r="C18" s="48">
        <f>FORMAT_HAR_V!C18</f>
        <v>1.1419999999999999</v>
      </c>
      <c r="D18" s="518" t="e">
        <f>FORMAT_HAR_V!BX18</f>
        <v>#DIV/0!</v>
      </c>
      <c r="E18" s="381" t="e">
        <f>FORMAT_HAR_V!CA18</f>
        <v>#DIV/0!</v>
      </c>
      <c r="F18" s="305" t="e">
        <f>0.01*FORMAT_HAR_V!AK18*C18*1000</f>
        <v>#DIV/0!</v>
      </c>
      <c r="G18" s="231" t="e">
        <f t="shared" si="1"/>
        <v>#DIV/0!</v>
      </c>
      <c r="H18" s="199">
        <f t="shared" si="16"/>
        <v>2.2685200000000001</v>
      </c>
      <c r="I18" s="358">
        <f t="shared" si="2"/>
        <v>3.3864024814714209</v>
      </c>
      <c r="J18" s="276"/>
      <c r="K18" s="199">
        <f t="shared" si="18"/>
        <v>0.05</v>
      </c>
      <c r="L18" s="288" t="e">
        <f t="shared" si="4"/>
        <v>#DIV/0!</v>
      </c>
      <c r="M18" s="286" t="e">
        <f>0.01*FORMAT_HAR_V!BU18*C18*1000</f>
        <v>#DIV/0!</v>
      </c>
      <c r="N18" s="231" t="e">
        <f t="shared" si="5"/>
        <v>#DIV/0!</v>
      </c>
      <c r="O18" s="199">
        <f t="shared" si="17"/>
        <v>2.2685200000000001</v>
      </c>
      <c r="P18" s="358">
        <f t="shared" si="6"/>
        <v>3.3864024814714209</v>
      </c>
      <c r="Q18" s="276"/>
      <c r="R18" s="199">
        <f t="shared" si="19"/>
        <v>0.05</v>
      </c>
      <c r="S18" s="288" t="e">
        <f t="shared" si="8"/>
        <v>#DIV/0!</v>
      </c>
      <c r="T18" s="541" t="e">
        <f t="shared" si="9"/>
        <v>#DIV/0!</v>
      </c>
      <c r="U18" s="312">
        <f t="shared" si="10"/>
        <v>5.71</v>
      </c>
      <c r="V18" s="458">
        <f t="shared" si="11"/>
        <v>57.1</v>
      </c>
      <c r="W18" s="319" t="e">
        <f t="shared" si="12"/>
        <v>#DIV/0!</v>
      </c>
      <c r="X18" s="467" t="e">
        <f t="shared" si="13"/>
        <v>#DIV/0!</v>
      </c>
      <c r="Y18" s="463" t="e">
        <f t="shared" si="14"/>
        <v>#DIV/0!</v>
      </c>
      <c r="Z18" s="316" t="e">
        <f t="shared" si="15"/>
        <v>#DIV/0!</v>
      </c>
    </row>
    <row r="19" spans="1:26" ht="12.9" customHeight="1">
      <c r="A19" s="152">
        <f t="shared" si="0"/>
        <v>750</v>
      </c>
      <c r="B19" s="514">
        <v>15</v>
      </c>
      <c r="C19" s="48">
        <f>FORMAT_HAR_V!C19</f>
        <v>1.304</v>
      </c>
      <c r="D19" s="518" t="e">
        <f>FORMAT_HAR_V!BX19</f>
        <v>#DIV/0!</v>
      </c>
      <c r="E19" s="381" t="e">
        <f>FORMAT_HAR_V!CA19</f>
        <v>#DIV/0!</v>
      </c>
      <c r="F19" s="305" t="e">
        <f>0.01*FORMAT_HAR_V!AK19*C19*1000</f>
        <v>#DIV/0!</v>
      </c>
      <c r="G19" s="231" t="e">
        <f t="shared" si="1"/>
        <v>#DIV/0!</v>
      </c>
      <c r="H19" s="199">
        <f t="shared" si="16"/>
        <v>2.2782399999999998</v>
      </c>
      <c r="I19" s="358">
        <f t="shared" si="2"/>
        <v>3.8667853203491536</v>
      </c>
      <c r="J19" s="276"/>
      <c r="K19" s="199">
        <f t="shared" si="18"/>
        <v>0.05</v>
      </c>
      <c r="L19" s="288" t="e">
        <f t="shared" si="4"/>
        <v>#DIV/0!</v>
      </c>
      <c r="M19" s="286" t="e">
        <f>0.01*FORMAT_HAR_V!BU19*C19*1000</f>
        <v>#DIV/0!</v>
      </c>
      <c r="N19" s="231" t="e">
        <f t="shared" si="5"/>
        <v>#DIV/0!</v>
      </c>
      <c r="O19" s="199">
        <f t="shared" si="17"/>
        <v>2.2782399999999998</v>
      </c>
      <c r="P19" s="358">
        <f t="shared" si="6"/>
        <v>3.8667853203491536</v>
      </c>
      <c r="Q19" s="276"/>
      <c r="R19" s="199">
        <f t="shared" si="19"/>
        <v>0.05</v>
      </c>
      <c r="S19" s="288" t="e">
        <f t="shared" si="8"/>
        <v>#DIV/0!</v>
      </c>
      <c r="T19" s="541" t="e">
        <f t="shared" si="9"/>
        <v>#DIV/0!</v>
      </c>
      <c r="U19" s="312">
        <f t="shared" si="10"/>
        <v>6.5200000000000005</v>
      </c>
      <c r="V19" s="458">
        <f t="shared" si="11"/>
        <v>65.2</v>
      </c>
      <c r="W19" s="319" t="e">
        <f t="shared" si="12"/>
        <v>#DIV/0!</v>
      </c>
      <c r="X19" s="467" t="e">
        <f t="shared" si="13"/>
        <v>#DIV/0!</v>
      </c>
      <c r="Y19" s="463" t="e">
        <f t="shared" si="14"/>
        <v>#DIV/0!</v>
      </c>
      <c r="Z19" s="316" t="e">
        <f t="shared" si="15"/>
        <v>#DIV/0!</v>
      </c>
    </row>
    <row r="20" spans="1:26" ht="12.9" customHeight="1">
      <c r="A20" s="152">
        <f t="shared" si="0"/>
        <v>800</v>
      </c>
      <c r="B20" s="514">
        <v>16</v>
      </c>
      <c r="C20" s="48">
        <f>FORMAT_HAR_V!C20</f>
        <v>1</v>
      </c>
      <c r="D20" s="518" t="e">
        <f>FORMAT_HAR_V!BX20</f>
        <v>#DIV/0!</v>
      </c>
      <c r="E20" s="381" t="e">
        <f>FORMAT_HAR_V!CA20</f>
        <v>#DIV/0!</v>
      </c>
      <c r="F20" s="305" t="e">
        <f>0.01*FORMAT_HAR_V!AK20*C20*1000</f>
        <v>#DIV/0!</v>
      </c>
      <c r="G20" s="231" t="e">
        <f t="shared" si="1"/>
        <v>#DIV/0!</v>
      </c>
      <c r="H20" s="199">
        <f t="shared" si="16"/>
        <v>2.2600000000000002</v>
      </c>
      <c r="I20" s="358">
        <f t="shared" si="2"/>
        <v>2.9653261659119274</v>
      </c>
      <c r="J20" s="276"/>
      <c r="K20" s="199">
        <f t="shared" si="18"/>
        <v>0.05</v>
      </c>
      <c r="L20" s="288" t="e">
        <f t="shared" si="4"/>
        <v>#DIV/0!</v>
      </c>
      <c r="M20" s="286" t="e">
        <f>0.01*FORMAT_HAR_V!BU20*C20*1000</f>
        <v>#DIV/0!</v>
      </c>
      <c r="N20" s="231" t="e">
        <f t="shared" si="5"/>
        <v>#DIV/0!</v>
      </c>
      <c r="O20" s="199">
        <f t="shared" si="17"/>
        <v>2.2600000000000002</v>
      </c>
      <c r="P20" s="358">
        <f t="shared" si="6"/>
        <v>2.9653261659119274</v>
      </c>
      <c r="Q20" s="276"/>
      <c r="R20" s="199">
        <f t="shared" si="19"/>
        <v>0.05</v>
      </c>
      <c r="S20" s="288" t="e">
        <f t="shared" si="8"/>
        <v>#DIV/0!</v>
      </c>
      <c r="T20" s="541" t="e">
        <f t="shared" si="9"/>
        <v>#DIV/0!</v>
      </c>
      <c r="U20" s="312">
        <f t="shared" si="10"/>
        <v>5</v>
      </c>
      <c r="V20" s="458">
        <f t="shared" si="11"/>
        <v>50</v>
      </c>
      <c r="W20" s="319" t="e">
        <f t="shared" si="12"/>
        <v>#DIV/0!</v>
      </c>
      <c r="X20" s="467" t="e">
        <f t="shared" si="13"/>
        <v>#DIV/0!</v>
      </c>
      <c r="Y20" s="463" t="e">
        <f t="shared" si="14"/>
        <v>#DIV/0!</v>
      </c>
      <c r="Z20" s="316" t="e">
        <f t="shared" si="15"/>
        <v>#DIV/0!</v>
      </c>
    </row>
    <row r="21" spans="1:26" ht="12.9" customHeight="1">
      <c r="A21" s="152">
        <f t="shared" si="0"/>
        <v>850</v>
      </c>
      <c r="B21" s="514">
        <v>17</v>
      </c>
      <c r="C21" s="48">
        <f>FORMAT_HAR_V!C21</f>
        <v>1.1499999999999999</v>
      </c>
      <c r="D21" s="518" t="e">
        <f>FORMAT_HAR_V!BX21</f>
        <v>#DIV/0!</v>
      </c>
      <c r="E21" s="381" t="e">
        <f>FORMAT_HAR_V!CA21</f>
        <v>#DIV/0!</v>
      </c>
      <c r="F21" s="305" t="e">
        <f>0.01*FORMAT_HAR_V!AK21*C21*1000</f>
        <v>#DIV/0!</v>
      </c>
      <c r="G21" s="231" t="e">
        <f t="shared" si="1"/>
        <v>#DIV/0!</v>
      </c>
      <c r="H21" s="199">
        <f t="shared" si="16"/>
        <v>2.2690000000000001</v>
      </c>
      <c r="I21" s="358">
        <f t="shared" si="2"/>
        <v>3.4101250907987164</v>
      </c>
      <c r="J21" s="276"/>
      <c r="K21" s="199">
        <f t="shared" si="18"/>
        <v>0.05</v>
      </c>
      <c r="L21" s="288" t="e">
        <f t="shared" si="4"/>
        <v>#DIV/0!</v>
      </c>
      <c r="M21" s="286" t="e">
        <f>0.01*FORMAT_HAR_V!BU21*C21*1000</f>
        <v>#DIV/0!</v>
      </c>
      <c r="N21" s="231" t="e">
        <f t="shared" si="5"/>
        <v>#DIV/0!</v>
      </c>
      <c r="O21" s="199">
        <f t="shared" si="17"/>
        <v>2.2690000000000001</v>
      </c>
      <c r="P21" s="358">
        <f t="shared" si="6"/>
        <v>3.4101250907987164</v>
      </c>
      <c r="Q21" s="276"/>
      <c r="R21" s="199">
        <f t="shared" si="19"/>
        <v>0.05</v>
      </c>
      <c r="S21" s="288" t="e">
        <f t="shared" si="8"/>
        <v>#DIV/0!</v>
      </c>
      <c r="T21" s="541" t="e">
        <f t="shared" si="9"/>
        <v>#DIV/0!</v>
      </c>
      <c r="U21" s="312">
        <f t="shared" si="10"/>
        <v>5.75</v>
      </c>
      <c r="V21" s="458">
        <f t="shared" si="11"/>
        <v>57.499999999999993</v>
      </c>
      <c r="W21" s="319" t="e">
        <f t="shared" si="12"/>
        <v>#DIV/0!</v>
      </c>
      <c r="X21" s="467" t="e">
        <f t="shared" si="13"/>
        <v>#DIV/0!</v>
      </c>
      <c r="Y21" s="463" t="e">
        <f t="shared" si="14"/>
        <v>#DIV/0!</v>
      </c>
      <c r="Z21" s="316" t="e">
        <f t="shared" si="15"/>
        <v>#DIV/0!</v>
      </c>
    </row>
    <row r="22" spans="1:26" ht="12.9" customHeight="1">
      <c r="A22" s="152">
        <f t="shared" si="0"/>
        <v>900</v>
      </c>
      <c r="B22" s="514">
        <v>18</v>
      </c>
      <c r="C22" s="48">
        <f>FORMAT_HAR_V!C22</f>
        <v>0.88800000000000001</v>
      </c>
      <c r="D22" s="518" t="e">
        <f>FORMAT_HAR_V!BX22</f>
        <v>#DIV/0!</v>
      </c>
      <c r="E22" s="381" t="e">
        <f>FORMAT_HAR_V!CA22</f>
        <v>#DIV/0!</v>
      </c>
      <c r="F22" s="305" t="e">
        <f>0.01*FORMAT_HAR_V!AK22*C22*1000</f>
        <v>#DIV/0!</v>
      </c>
      <c r="G22" s="231" t="e">
        <f t="shared" si="1"/>
        <v>#DIV/0!</v>
      </c>
      <c r="H22" s="199">
        <f>1000*(0.000451*C22+0.0022)</f>
        <v>2.6004880000000004</v>
      </c>
      <c r="I22" s="358">
        <f t="shared" si="2"/>
        <v>2.6332096353297914</v>
      </c>
      <c r="J22" s="276"/>
      <c r="K22" s="199">
        <f t="shared" si="18"/>
        <v>0.05</v>
      </c>
      <c r="L22" s="288" t="e">
        <f t="shared" si="4"/>
        <v>#DIV/0!</v>
      </c>
      <c r="M22" s="286" t="e">
        <f>0.01*FORMAT_HAR_V!BU22*C22*1000</f>
        <v>#DIV/0!</v>
      </c>
      <c r="N22" s="231" t="e">
        <f t="shared" si="5"/>
        <v>#DIV/0!</v>
      </c>
      <c r="O22" s="199">
        <f>1000*(0.000451*C22+0.0022)</f>
        <v>2.6004880000000004</v>
      </c>
      <c r="P22" s="358">
        <f t="shared" si="6"/>
        <v>2.6332096353297914</v>
      </c>
      <c r="Q22" s="276"/>
      <c r="R22" s="199">
        <f t="shared" si="19"/>
        <v>0.05</v>
      </c>
      <c r="S22" s="288" t="e">
        <f t="shared" si="8"/>
        <v>#DIV/0!</v>
      </c>
      <c r="T22" s="541" t="e">
        <f t="shared" si="9"/>
        <v>#DIV/0!</v>
      </c>
      <c r="U22" s="312">
        <f t="shared" si="10"/>
        <v>4.4400000000000004</v>
      </c>
      <c r="V22" s="458">
        <f t="shared" si="11"/>
        <v>44.4</v>
      </c>
      <c r="W22" s="319" t="e">
        <f t="shared" si="12"/>
        <v>#DIV/0!</v>
      </c>
      <c r="X22" s="467" t="e">
        <f t="shared" si="13"/>
        <v>#DIV/0!</v>
      </c>
      <c r="Y22" s="463" t="e">
        <f t="shared" si="14"/>
        <v>#DIV/0!</v>
      </c>
      <c r="Z22" s="316" t="e">
        <f t="shared" si="15"/>
        <v>#DIV/0!</v>
      </c>
    </row>
    <row r="23" spans="1:26" ht="12.9" customHeight="1">
      <c r="A23" s="152">
        <f t="shared" si="0"/>
        <v>950</v>
      </c>
      <c r="B23" s="514">
        <v>19</v>
      </c>
      <c r="C23" s="48">
        <f>FORMAT_HAR_V!C23</f>
        <v>1.03</v>
      </c>
      <c r="D23" s="518" t="e">
        <f>FORMAT_HAR_V!BX23</f>
        <v>#DIV/0!</v>
      </c>
      <c r="E23" s="381" t="e">
        <f>FORMAT_HAR_V!CA23</f>
        <v>#DIV/0!</v>
      </c>
      <c r="F23" s="305" t="e">
        <f>0.01*FORMAT_HAR_V!AK23*C23*1000</f>
        <v>#DIV/0!</v>
      </c>
      <c r="G23" s="231" t="e">
        <f t="shared" si="1"/>
        <v>#DIV/0!</v>
      </c>
      <c r="H23" s="199">
        <f t="shared" ref="H23:H54" si="20">1000*(0.000451*C23+0.0022)</f>
        <v>2.6645300000000001</v>
      </c>
      <c r="I23" s="358">
        <f t="shared" si="2"/>
        <v>3.0542859508892848</v>
      </c>
      <c r="J23" s="276"/>
      <c r="K23" s="199">
        <f t="shared" si="18"/>
        <v>0.05</v>
      </c>
      <c r="L23" s="288" t="e">
        <f t="shared" si="4"/>
        <v>#DIV/0!</v>
      </c>
      <c r="M23" s="286" t="e">
        <f>0.01*FORMAT_HAR_V!BU23*C23*1000</f>
        <v>#DIV/0!</v>
      </c>
      <c r="N23" s="231" t="e">
        <f t="shared" si="5"/>
        <v>#DIV/0!</v>
      </c>
      <c r="O23" s="199">
        <f t="shared" ref="O23:O54" si="21">1000*(0.000451*C23+0.0022)</f>
        <v>2.6645300000000001</v>
      </c>
      <c r="P23" s="358">
        <f t="shared" si="6"/>
        <v>3.0542859508892848</v>
      </c>
      <c r="Q23" s="276"/>
      <c r="R23" s="199">
        <f t="shared" si="19"/>
        <v>0.05</v>
      </c>
      <c r="S23" s="288" t="e">
        <f t="shared" si="8"/>
        <v>#DIV/0!</v>
      </c>
      <c r="T23" s="541" t="e">
        <f t="shared" si="9"/>
        <v>#DIV/0!</v>
      </c>
      <c r="U23" s="312">
        <f t="shared" si="10"/>
        <v>5.15</v>
      </c>
      <c r="V23" s="458">
        <f t="shared" si="11"/>
        <v>51.500000000000007</v>
      </c>
      <c r="W23" s="319" t="e">
        <f t="shared" si="12"/>
        <v>#DIV/0!</v>
      </c>
      <c r="X23" s="467" t="e">
        <f t="shared" si="13"/>
        <v>#DIV/0!</v>
      </c>
      <c r="Y23" s="463" t="e">
        <f t="shared" si="14"/>
        <v>#DIV/0!</v>
      </c>
      <c r="Z23" s="316" t="e">
        <f t="shared" si="15"/>
        <v>#DIV/0!</v>
      </c>
    </row>
    <row r="24" spans="1:26" ht="12.9" customHeight="1">
      <c r="A24" s="152">
        <f t="shared" si="0"/>
        <v>1000</v>
      </c>
      <c r="B24" s="514">
        <v>20</v>
      </c>
      <c r="C24" s="48">
        <f>FORMAT_HAR_V!C24</f>
        <v>0.8</v>
      </c>
      <c r="D24" s="518" t="e">
        <f>FORMAT_HAR_V!BX24</f>
        <v>#DIV/0!</v>
      </c>
      <c r="E24" s="381" t="e">
        <f>FORMAT_HAR_V!CA24</f>
        <v>#DIV/0!</v>
      </c>
      <c r="F24" s="305" t="e">
        <f>0.01*FORMAT_HAR_V!AK24*C24*1000</f>
        <v>#DIV/0!</v>
      </c>
      <c r="G24" s="231" t="e">
        <f t="shared" si="1"/>
        <v>#DIV/0!</v>
      </c>
      <c r="H24" s="199">
        <f t="shared" si="20"/>
        <v>2.5608000000000004</v>
      </c>
      <c r="I24" s="358">
        <f t="shared" si="2"/>
        <v>2.3722609327295419</v>
      </c>
      <c r="J24" s="276"/>
      <c r="K24" s="199">
        <f t="shared" si="18"/>
        <v>0.05</v>
      </c>
      <c r="L24" s="288" t="e">
        <f t="shared" si="4"/>
        <v>#DIV/0!</v>
      </c>
      <c r="M24" s="286" t="e">
        <f>0.01*FORMAT_HAR_V!BU24*C24*1000</f>
        <v>#DIV/0!</v>
      </c>
      <c r="N24" s="231" t="e">
        <f t="shared" si="5"/>
        <v>#DIV/0!</v>
      </c>
      <c r="O24" s="199">
        <f t="shared" si="21"/>
        <v>2.5608000000000004</v>
      </c>
      <c r="P24" s="358">
        <f t="shared" si="6"/>
        <v>2.3722609327295419</v>
      </c>
      <c r="Q24" s="276"/>
      <c r="R24" s="199">
        <f t="shared" si="19"/>
        <v>0.05</v>
      </c>
      <c r="S24" s="288" t="e">
        <f t="shared" si="8"/>
        <v>#DIV/0!</v>
      </c>
      <c r="T24" s="541" t="e">
        <f t="shared" si="9"/>
        <v>#DIV/0!</v>
      </c>
      <c r="U24" s="312">
        <f t="shared" si="10"/>
        <v>4</v>
      </c>
      <c r="V24" s="458">
        <f t="shared" si="11"/>
        <v>40.000000000000007</v>
      </c>
      <c r="W24" s="319" t="e">
        <f t="shared" si="12"/>
        <v>#DIV/0!</v>
      </c>
      <c r="X24" s="467" t="e">
        <f t="shared" si="13"/>
        <v>#DIV/0!</v>
      </c>
      <c r="Y24" s="463" t="e">
        <f t="shared" si="14"/>
        <v>#DIV/0!</v>
      </c>
      <c r="Z24" s="316" t="e">
        <f t="shared" si="15"/>
        <v>#DIV/0!</v>
      </c>
    </row>
    <row r="25" spans="1:26" ht="12.9" customHeight="1">
      <c r="A25" s="152">
        <f t="shared" si="0"/>
        <v>1050</v>
      </c>
      <c r="B25" s="514">
        <v>21</v>
      </c>
      <c r="C25" s="48">
        <f>FORMAT_HAR_V!C25</f>
        <v>0.93200000000000005</v>
      </c>
      <c r="D25" s="518" t="e">
        <f>FORMAT_HAR_V!BX25</f>
        <v>#DIV/0!</v>
      </c>
      <c r="E25" s="381" t="e">
        <f>FORMAT_HAR_V!CA25</f>
        <v>#DIV/0!</v>
      </c>
      <c r="F25" s="305" t="e">
        <f>0.01*FORMAT_HAR_V!AK25*C25*1000</f>
        <v>#DIV/0!</v>
      </c>
      <c r="G25" s="231" t="e">
        <f t="shared" si="1"/>
        <v>#DIV/0!</v>
      </c>
      <c r="H25" s="199">
        <f t="shared" si="20"/>
        <v>2.6203320000000003</v>
      </c>
      <c r="I25" s="358">
        <f t="shared" si="2"/>
        <v>2.7636839866299163</v>
      </c>
      <c r="J25" s="276"/>
      <c r="K25" s="199">
        <f t="shared" si="18"/>
        <v>0.05</v>
      </c>
      <c r="L25" s="288" t="e">
        <f t="shared" si="4"/>
        <v>#DIV/0!</v>
      </c>
      <c r="M25" s="286" t="e">
        <f>0.01*FORMAT_HAR_V!BU25*C25*1000</f>
        <v>#DIV/0!</v>
      </c>
      <c r="N25" s="231" t="e">
        <f t="shared" si="5"/>
        <v>#DIV/0!</v>
      </c>
      <c r="O25" s="199">
        <f t="shared" si="21"/>
        <v>2.6203320000000003</v>
      </c>
      <c r="P25" s="358">
        <f t="shared" si="6"/>
        <v>2.7636839866299163</v>
      </c>
      <c r="Q25" s="276"/>
      <c r="R25" s="199">
        <f t="shared" si="19"/>
        <v>0.05</v>
      </c>
      <c r="S25" s="288" t="e">
        <f t="shared" si="8"/>
        <v>#DIV/0!</v>
      </c>
      <c r="T25" s="541" t="e">
        <f t="shared" si="9"/>
        <v>#DIV/0!</v>
      </c>
      <c r="U25" s="312">
        <f t="shared" si="10"/>
        <v>4.66</v>
      </c>
      <c r="V25" s="458">
        <f t="shared" si="11"/>
        <v>46.6</v>
      </c>
      <c r="W25" s="319" t="e">
        <f t="shared" si="12"/>
        <v>#DIV/0!</v>
      </c>
      <c r="X25" s="467" t="e">
        <f t="shared" si="13"/>
        <v>#DIV/0!</v>
      </c>
      <c r="Y25" s="463" t="e">
        <f t="shared" si="14"/>
        <v>#DIV/0!</v>
      </c>
      <c r="Z25" s="316" t="e">
        <f t="shared" si="15"/>
        <v>#DIV/0!</v>
      </c>
    </row>
    <row r="26" spans="1:26" ht="12.9" customHeight="1">
      <c r="A26" s="152">
        <f t="shared" si="0"/>
        <v>1100</v>
      </c>
      <c r="B26" s="514">
        <v>22</v>
      </c>
      <c r="C26" s="48">
        <f>FORMAT_HAR_V!C26</f>
        <v>0.72799999999999998</v>
      </c>
      <c r="D26" s="518" t="e">
        <f>FORMAT_HAR_V!BX26</f>
        <v>#DIV/0!</v>
      </c>
      <c r="E26" s="381" t="e">
        <f>FORMAT_HAR_V!CA26</f>
        <v>#DIV/0!</v>
      </c>
      <c r="F26" s="305" t="e">
        <f>0.01*FORMAT_HAR_V!AK26*C26*1000</f>
        <v>#DIV/0!</v>
      </c>
      <c r="G26" s="231" t="e">
        <f t="shared" si="1"/>
        <v>#DIV/0!</v>
      </c>
      <c r="H26" s="199">
        <f t="shared" si="20"/>
        <v>2.5283280000000001</v>
      </c>
      <c r="I26" s="358">
        <f t="shared" si="2"/>
        <v>2.158757448783883</v>
      </c>
      <c r="J26" s="276"/>
      <c r="K26" s="199">
        <f>1000*0.00001/2</f>
        <v>5.0000000000000001E-3</v>
      </c>
      <c r="L26" s="288" t="e">
        <f t="shared" si="4"/>
        <v>#DIV/0!</v>
      </c>
      <c r="M26" s="286" t="e">
        <f>0.01*FORMAT_HAR_V!BU26*C26*1000</f>
        <v>#DIV/0!</v>
      </c>
      <c r="N26" s="231" t="e">
        <f t="shared" si="5"/>
        <v>#DIV/0!</v>
      </c>
      <c r="O26" s="199">
        <f t="shared" si="21"/>
        <v>2.5283280000000001</v>
      </c>
      <c r="P26" s="358">
        <f t="shared" si="6"/>
        <v>2.158757448783883</v>
      </c>
      <c r="Q26" s="276"/>
      <c r="R26" s="199">
        <f>1000*0.00001/2</f>
        <v>5.0000000000000001E-3</v>
      </c>
      <c r="S26" s="288" t="e">
        <f t="shared" si="8"/>
        <v>#DIV/0!</v>
      </c>
      <c r="T26" s="541" t="e">
        <f t="shared" si="9"/>
        <v>#DIV/0!</v>
      </c>
      <c r="U26" s="312">
        <f t="shared" si="10"/>
        <v>3.64</v>
      </c>
      <c r="V26" s="458">
        <f t="shared" si="11"/>
        <v>36.4</v>
      </c>
      <c r="W26" s="319" t="e">
        <f t="shared" si="12"/>
        <v>#DIV/0!</v>
      </c>
      <c r="X26" s="467" t="e">
        <f t="shared" si="13"/>
        <v>#DIV/0!</v>
      </c>
      <c r="Y26" s="463" t="e">
        <f t="shared" si="14"/>
        <v>#DIV/0!</v>
      </c>
      <c r="Z26" s="316" t="e">
        <f t="shared" si="15"/>
        <v>#DIV/0!</v>
      </c>
    </row>
    <row r="27" spans="1:26" ht="12.9" customHeight="1">
      <c r="A27" s="152">
        <f t="shared" si="0"/>
        <v>1150</v>
      </c>
      <c r="B27" s="514">
        <v>23</v>
      </c>
      <c r="C27" s="48">
        <f>FORMAT_HAR_V!C27</f>
        <v>0.84</v>
      </c>
      <c r="D27" s="518" t="e">
        <f>FORMAT_HAR_V!BX27</f>
        <v>#DIV/0!</v>
      </c>
      <c r="E27" s="381" t="e">
        <f>FORMAT_HAR_V!CA27</f>
        <v>#DIV/0!</v>
      </c>
      <c r="F27" s="305" t="e">
        <f>0.01*FORMAT_HAR_V!AK27*C27*1000</f>
        <v>#DIV/0!</v>
      </c>
      <c r="G27" s="231" t="e">
        <f t="shared" si="1"/>
        <v>#DIV/0!</v>
      </c>
      <c r="H27" s="199">
        <f t="shared" si="20"/>
        <v>2.57884</v>
      </c>
      <c r="I27" s="358">
        <f t="shared" si="2"/>
        <v>2.4908739793660191</v>
      </c>
      <c r="J27" s="276"/>
      <c r="K27" s="199">
        <f>1000*0.0001/2</f>
        <v>0.05</v>
      </c>
      <c r="L27" s="288" t="e">
        <f t="shared" si="4"/>
        <v>#DIV/0!</v>
      </c>
      <c r="M27" s="286" t="e">
        <f>0.01*FORMAT_HAR_V!BU27*C27*1000</f>
        <v>#DIV/0!</v>
      </c>
      <c r="N27" s="231" t="e">
        <f t="shared" si="5"/>
        <v>#DIV/0!</v>
      </c>
      <c r="O27" s="199">
        <f t="shared" si="21"/>
        <v>2.57884</v>
      </c>
      <c r="P27" s="358">
        <f t="shared" si="6"/>
        <v>2.4908739793660191</v>
      </c>
      <c r="Q27" s="276"/>
      <c r="R27" s="199">
        <f>1000*0.0001/2</f>
        <v>0.05</v>
      </c>
      <c r="S27" s="288" t="e">
        <f t="shared" si="8"/>
        <v>#DIV/0!</v>
      </c>
      <c r="T27" s="541" t="e">
        <f t="shared" si="9"/>
        <v>#DIV/0!</v>
      </c>
      <c r="U27" s="312">
        <f t="shared" si="10"/>
        <v>4.2</v>
      </c>
      <c r="V27" s="458">
        <f t="shared" si="11"/>
        <v>42</v>
      </c>
      <c r="W27" s="319" t="e">
        <f t="shared" si="12"/>
        <v>#DIV/0!</v>
      </c>
      <c r="X27" s="467" t="e">
        <f t="shared" si="13"/>
        <v>#DIV/0!</v>
      </c>
      <c r="Y27" s="463" t="e">
        <f t="shared" si="14"/>
        <v>#DIV/0!</v>
      </c>
      <c r="Z27" s="316" t="e">
        <f t="shared" si="15"/>
        <v>#DIV/0!</v>
      </c>
    </row>
    <row r="28" spans="1:26" ht="12.9" customHeight="1">
      <c r="A28" s="152">
        <f t="shared" si="0"/>
        <v>1200</v>
      </c>
      <c r="B28" s="514">
        <v>24</v>
      </c>
      <c r="C28" s="48">
        <f>FORMAT_HAR_V!C28</f>
        <v>0.66600000000000004</v>
      </c>
      <c r="D28" s="518" t="e">
        <f>FORMAT_HAR_V!BX28</f>
        <v>#DIV/0!</v>
      </c>
      <c r="E28" s="381" t="e">
        <f>FORMAT_HAR_V!CA28</f>
        <v>#DIV/0!</v>
      </c>
      <c r="F28" s="305" t="e">
        <f>0.01*FORMAT_HAR_V!AK28*C28*1000</f>
        <v>#DIV/0!</v>
      </c>
      <c r="G28" s="231" t="e">
        <f t="shared" si="1"/>
        <v>#DIV/0!</v>
      </c>
      <c r="H28" s="199">
        <f t="shared" si="20"/>
        <v>2.5003660000000005</v>
      </c>
      <c r="I28" s="358">
        <f t="shared" si="2"/>
        <v>1.9749072264973435</v>
      </c>
      <c r="J28" s="276"/>
      <c r="K28" s="199">
        <f>1000*0.00001/2</f>
        <v>5.0000000000000001E-3</v>
      </c>
      <c r="L28" s="288" t="e">
        <f t="shared" si="4"/>
        <v>#DIV/0!</v>
      </c>
      <c r="M28" s="286" t="e">
        <f>0.01*FORMAT_HAR_V!BU28*C28*1000</f>
        <v>#DIV/0!</v>
      </c>
      <c r="N28" s="231" t="e">
        <f t="shared" si="5"/>
        <v>#DIV/0!</v>
      </c>
      <c r="O28" s="199">
        <f t="shared" si="21"/>
        <v>2.5003660000000005</v>
      </c>
      <c r="P28" s="358">
        <f t="shared" si="6"/>
        <v>1.9749072264973435</v>
      </c>
      <c r="Q28" s="276"/>
      <c r="R28" s="199">
        <f>1000*0.00001/2</f>
        <v>5.0000000000000001E-3</v>
      </c>
      <c r="S28" s="288" t="e">
        <f t="shared" si="8"/>
        <v>#DIV/0!</v>
      </c>
      <c r="T28" s="541" t="e">
        <f t="shared" si="9"/>
        <v>#DIV/0!</v>
      </c>
      <c r="U28" s="312">
        <f t="shared" si="10"/>
        <v>3.33</v>
      </c>
      <c r="V28" s="458">
        <f t="shared" si="11"/>
        <v>33.300000000000004</v>
      </c>
      <c r="W28" s="319" t="e">
        <f t="shared" si="12"/>
        <v>#DIV/0!</v>
      </c>
      <c r="X28" s="467" t="e">
        <f t="shared" si="13"/>
        <v>#DIV/0!</v>
      </c>
      <c r="Y28" s="463" t="e">
        <f t="shared" si="14"/>
        <v>#DIV/0!</v>
      </c>
      <c r="Z28" s="316" t="e">
        <f t="shared" si="15"/>
        <v>#DIV/0!</v>
      </c>
    </row>
    <row r="29" spans="1:26" ht="12.9" customHeight="1">
      <c r="A29" s="152">
        <f t="shared" si="0"/>
        <v>1250</v>
      </c>
      <c r="B29" s="514">
        <v>25</v>
      </c>
      <c r="C29" s="48">
        <f>FORMAT_HAR_V!C29</f>
        <v>0.78200000000000003</v>
      </c>
      <c r="D29" s="518" t="e">
        <f>FORMAT_HAR_V!BX29</f>
        <v>#DIV/0!</v>
      </c>
      <c r="E29" s="381" t="e">
        <f>FORMAT_HAR_V!CA29</f>
        <v>#DIV/0!</v>
      </c>
      <c r="F29" s="305" t="e">
        <f>0.01*FORMAT_HAR_V!AK29*C29*1000</f>
        <v>#DIV/0!</v>
      </c>
      <c r="G29" s="231" t="e">
        <f t="shared" si="1"/>
        <v>#DIV/0!</v>
      </c>
      <c r="H29" s="199">
        <f t="shared" si="20"/>
        <v>2.5526820000000003</v>
      </c>
      <c r="I29" s="358">
        <f t="shared" si="2"/>
        <v>2.3188850617431274</v>
      </c>
      <c r="J29" s="276"/>
      <c r="K29" s="199">
        <f>1000*0.0001/2</f>
        <v>0.05</v>
      </c>
      <c r="L29" s="288" t="e">
        <f t="shared" si="4"/>
        <v>#DIV/0!</v>
      </c>
      <c r="M29" s="286" t="e">
        <f>0.01*FORMAT_HAR_V!BU29*C29*1000</f>
        <v>#DIV/0!</v>
      </c>
      <c r="N29" s="231" t="e">
        <f t="shared" si="5"/>
        <v>#DIV/0!</v>
      </c>
      <c r="O29" s="199">
        <f t="shared" si="21"/>
        <v>2.5526820000000003</v>
      </c>
      <c r="P29" s="358">
        <f t="shared" si="6"/>
        <v>2.3188850617431274</v>
      </c>
      <c r="Q29" s="276"/>
      <c r="R29" s="199">
        <f>1000*0.0001/2</f>
        <v>0.05</v>
      </c>
      <c r="S29" s="288" t="e">
        <f t="shared" si="8"/>
        <v>#DIV/0!</v>
      </c>
      <c r="T29" s="541" t="e">
        <f t="shared" si="9"/>
        <v>#DIV/0!</v>
      </c>
      <c r="U29" s="312">
        <f t="shared" si="10"/>
        <v>3.91</v>
      </c>
      <c r="V29" s="458">
        <f t="shared" si="11"/>
        <v>39.1</v>
      </c>
      <c r="W29" s="319" t="e">
        <f t="shared" si="12"/>
        <v>#DIV/0!</v>
      </c>
      <c r="X29" s="467" t="e">
        <f t="shared" si="13"/>
        <v>#DIV/0!</v>
      </c>
      <c r="Y29" s="463" t="e">
        <f t="shared" si="14"/>
        <v>#DIV/0!</v>
      </c>
      <c r="Z29" s="316" t="e">
        <f t="shared" si="15"/>
        <v>#DIV/0!</v>
      </c>
    </row>
    <row r="30" spans="1:26" ht="12.9" customHeight="1">
      <c r="A30" s="152">
        <f t="shared" si="0"/>
        <v>1300</v>
      </c>
      <c r="B30" s="514">
        <v>26</v>
      </c>
      <c r="C30" s="48">
        <f>FORMAT_HAR_V!C30</f>
        <v>0.61599999999999999</v>
      </c>
      <c r="D30" s="518" t="e">
        <f>FORMAT_HAR_V!BX30</f>
        <v>#DIV/0!</v>
      </c>
      <c r="E30" s="381" t="e">
        <f>FORMAT_HAR_V!CA30</f>
        <v>#DIV/0!</v>
      </c>
      <c r="F30" s="305" t="e">
        <f>0.01*FORMAT_HAR_V!AK30*C30*1000</f>
        <v>#DIV/0!</v>
      </c>
      <c r="G30" s="231" t="e">
        <f t="shared" si="1"/>
        <v>#DIV/0!</v>
      </c>
      <c r="H30" s="199">
        <f t="shared" si="20"/>
        <v>2.4778160000000002</v>
      </c>
      <c r="I30" s="358">
        <f t="shared" si="2"/>
        <v>1.8266409182017471</v>
      </c>
      <c r="J30" s="276"/>
      <c r="K30" s="199">
        <f>1000*0.00001/2</f>
        <v>5.0000000000000001E-3</v>
      </c>
      <c r="L30" s="288" t="e">
        <f t="shared" si="4"/>
        <v>#DIV/0!</v>
      </c>
      <c r="M30" s="286" t="e">
        <f>0.01*FORMAT_HAR_V!BU30*C30*1000</f>
        <v>#DIV/0!</v>
      </c>
      <c r="N30" s="231" t="e">
        <f t="shared" si="5"/>
        <v>#DIV/0!</v>
      </c>
      <c r="O30" s="199">
        <f t="shared" si="21"/>
        <v>2.4778160000000002</v>
      </c>
      <c r="P30" s="358">
        <f t="shared" si="6"/>
        <v>1.8266409182017471</v>
      </c>
      <c r="Q30" s="276"/>
      <c r="R30" s="199">
        <f>1000*0.00001/2</f>
        <v>5.0000000000000001E-3</v>
      </c>
      <c r="S30" s="288" t="e">
        <f t="shared" si="8"/>
        <v>#DIV/0!</v>
      </c>
      <c r="T30" s="541" t="e">
        <f t="shared" si="9"/>
        <v>#DIV/0!</v>
      </c>
      <c r="U30" s="312">
        <f t="shared" si="10"/>
        <v>3.0799999999999996</v>
      </c>
      <c r="V30" s="458">
        <f t="shared" si="11"/>
        <v>30.8</v>
      </c>
      <c r="W30" s="319" t="e">
        <f t="shared" si="12"/>
        <v>#DIV/0!</v>
      </c>
      <c r="X30" s="467" t="e">
        <f t="shared" si="13"/>
        <v>#DIV/0!</v>
      </c>
      <c r="Y30" s="463" t="e">
        <f t="shared" si="14"/>
        <v>#DIV/0!</v>
      </c>
      <c r="Z30" s="316" t="e">
        <f t="shared" si="15"/>
        <v>#DIV/0!</v>
      </c>
    </row>
    <row r="31" spans="1:26" ht="12.9" customHeight="1">
      <c r="A31" s="152">
        <f t="shared" si="0"/>
        <v>1350</v>
      </c>
      <c r="B31" s="514">
        <v>27</v>
      </c>
      <c r="C31" s="48">
        <f>FORMAT_HAR_V!C31</f>
        <v>0.72399999999999998</v>
      </c>
      <c r="D31" s="518" t="e">
        <f>FORMAT_HAR_V!BX31</f>
        <v>#DIV/0!</v>
      </c>
      <c r="E31" s="381" t="e">
        <f>FORMAT_HAR_V!CA31</f>
        <v>#DIV/0!</v>
      </c>
      <c r="F31" s="305" t="e">
        <f>0.01*FORMAT_HAR_V!AK31*C31*1000</f>
        <v>#DIV/0!</v>
      </c>
      <c r="G31" s="231" t="e">
        <f t="shared" si="1"/>
        <v>#DIV/0!</v>
      </c>
      <c r="H31" s="199">
        <f t="shared" si="20"/>
        <v>2.5265240000000002</v>
      </c>
      <c r="I31" s="358">
        <f t="shared" si="2"/>
        <v>2.1468961441202352</v>
      </c>
      <c r="J31" s="276"/>
      <c r="K31" s="199">
        <f t="shared" ref="K31:K54" si="22">1000*0.00001/2</f>
        <v>5.0000000000000001E-3</v>
      </c>
      <c r="L31" s="288" t="e">
        <f t="shared" si="4"/>
        <v>#DIV/0!</v>
      </c>
      <c r="M31" s="286" t="e">
        <f>0.01*FORMAT_HAR_V!BU31*C31*1000</f>
        <v>#DIV/0!</v>
      </c>
      <c r="N31" s="231" t="e">
        <f t="shared" si="5"/>
        <v>#DIV/0!</v>
      </c>
      <c r="O31" s="199">
        <f t="shared" si="21"/>
        <v>2.5265240000000002</v>
      </c>
      <c r="P31" s="358">
        <f t="shared" si="6"/>
        <v>2.1468961441202352</v>
      </c>
      <c r="Q31" s="276"/>
      <c r="R31" s="199">
        <f t="shared" ref="R31:R54" si="23">1000*0.00001/2</f>
        <v>5.0000000000000001E-3</v>
      </c>
      <c r="S31" s="288" t="e">
        <f t="shared" si="8"/>
        <v>#DIV/0!</v>
      </c>
      <c r="T31" s="541" t="e">
        <f t="shared" si="9"/>
        <v>#DIV/0!</v>
      </c>
      <c r="U31" s="312">
        <f t="shared" si="10"/>
        <v>3.62</v>
      </c>
      <c r="V31" s="458">
        <f t="shared" si="11"/>
        <v>36.200000000000003</v>
      </c>
      <c r="W31" s="319" t="e">
        <f t="shared" si="12"/>
        <v>#DIV/0!</v>
      </c>
      <c r="X31" s="467" t="e">
        <f t="shared" si="13"/>
        <v>#DIV/0!</v>
      </c>
      <c r="Y31" s="463" t="e">
        <f t="shared" si="14"/>
        <v>#DIV/0!</v>
      </c>
      <c r="Z31" s="316" t="e">
        <f t="shared" si="15"/>
        <v>#DIV/0!</v>
      </c>
    </row>
    <row r="32" spans="1:26" ht="12.9" customHeight="1">
      <c r="A32" s="152">
        <f t="shared" si="0"/>
        <v>1400</v>
      </c>
      <c r="B32" s="514">
        <v>28</v>
      </c>
      <c r="C32" s="48">
        <f>FORMAT_HAR_V!C32</f>
        <v>0.57199999999999995</v>
      </c>
      <c r="D32" s="518" t="e">
        <f>FORMAT_HAR_V!BX32</f>
        <v>#DIV/0!</v>
      </c>
      <c r="E32" s="381" t="e">
        <f>FORMAT_HAR_V!CA32</f>
        <v>#DIV/0!</v>
      </c>
      <c r="F32" s="305" t="e">
        <f>0.01*FORMAT_HAR_V!AK32*C32*1000</f>
        <v>#DIV/0!</v>
      </c>
      <c r="G32" s="231" t="e">
        <f t="shared" si="1"/>
        <v>#DIV/0!</v>
      </c>
      <c r="H32" s="199">
        <f t="shared" si="20"/>
        <v>2.4579720000000003</v>
      </c>
      <c r="I32" s="358">
        <f t="shared" si="2"/>
        <v>1.6961665669016224</v>
      </c>
      <c r="J32" s="276"/>
      <c r="K32" s="199">
        <f t="shared" si="22"/>
        <v>5.0000000000000001E-3</v>
      </c>
      <c r="L32" s="288" t="e">
        <f t="shared" si="4"/>
        <v>#DIV/0!</v>
      </c>
      <c r="M32" s="286" t="e">
        <f>0.01*FORMAT_HAR_V!BU32*C32*1000</f>
        <v>#DIV/0!</v>
      </c>
      <c r="N32" s="231" t="e">
        <f t="shared" si="5"/>
        <v>#DIV/0!</v>
      </c>
      <c r="O32" s="199">
        <f t="shared" si="21"/>
        <v>2.4579720000000003</v>
      </c>
      <c r="P32" s="358">
        <f t="shared" si="6"/>
        <v>1.6961665669016224</v>
      </c>
      <c r="Q32" s="276"/>
      <c r="R32" s="199">
        <f t="shared" si="23"/>
        <v>5.0000000000000001E-3</v>
      </c>
      <c r="S32" s="288" t="e">
        <f t="shared" si="8"/>
        <v>#DIV/0!</v>
      </c>
      <c r="T32" s="541" t="e">
        <f t="shared" si="9"/>
        <v>#DIV/0!</v>
      </c>
      <c r="U32" s="312">
        <f t="shared" si="10"/>
        <v>2.86</v>
      </c>
      <c r="V32" s="458">
        <f>0.0005*57.735*1000</f>
        <v>28.8675</v>
      </c>
      <c r="W32" s="319" t="e">
        <f t="shared" si="12"/>
        <v>#DIV/0!</v>
      </c>
      <c r="X32" s="467" t="e">
        <f t="shared" si="13"/>
        <v>#DIV/0!</v>
      </c>
      <c r="Y32" s="463" t="e">
        <f t="shared" si="14"/>
        <v>#DIV/0!</v>
      </c>
      <c r="Z32" s="316" t="e">
        <f t="shared" si="15"/>
        <v>#DIV/0!</v>
      </c>
    </row>
    <row r="33" spans="1:26" ht="12.9" customHeight="1">
      <c r="A33" s="152">
        <f t="shared" si="0"/>
        <v>1450</v>
      </c>
      <c r="B33" s="514">
        <v>29</v>
      </c>
      <c r="C33" s="48">
        <f>FORMAT_HAR_V!C33</f>
        <v>0.67400000000000004</v>
      </c>
      <c r="D33" s="518" t="e">
        <f>FORMAT_HAR_V!BX33</f>
        <v>#DIV/0!</v>
      </c>
      <c r="E33" s="381" t="e">
        <f>FORMAT_HAR_V!CA33</f>
        <v>#DIV/0!</v>
      </c>
      <c r="F33" s="305" t="e">
        <f>0.01*FORMAT_HAR_V!AK33*C33*1000</f>
        <v>#DIV/0!</v>
      </c>
      <c r="G33" s="231" t="e">
        <f t="shared" si="1"/>
        <v>#DIV/0!</v>
      </c>
      <c r="H33" s="199">
        <f t="shared" si="20"/>
        <v>2.5039739999999999</v>
      </c>
      <c r="I33" s="358">
        <f t="shared" si="2"/>
        <v>1.998629835824639</v>
      </c>
      <c r="J33" s="276"/>
      <c r="K33" s="199">
        <f t="shared" si="22"/>
        <v>5.0000000000000001E-3</v>
      </c>
      <c r="L33" s="288" t="e">
        <f t="shared" si="4"/>
        <v>#DIV/0!</v>
      </c>
      <c r="M33" s="286" t="e">
        <f>0.01*FORMAT_HAR_V!BU33*C33*1000</f>
        <v>#DIV/0!</v>
      </c>
      <c r="N33" s="231" t="e">
        <f t="shared" si="5"/>
        <v>#DIV/0!</v>
      </c>
      <c r="O33" s="199">
        <f t="shared" si="21"/>
        <v>2.5039739999999999</v>
      </c>
      <c r="P33" s="358">
        <f t="shared" si="6"/>
        <v>1.998629835824639</v>
      </c>
      <c r="Q33" s="276"/>
      <c r="R33" s="199">
        <f t="shared" si="23"/>
        <v>5.0000000000000001E-3</v>
      </c>
      <c r="S33" s="288" t="e">
        <f t="shared" si="8"/>
        <v>#DIV/0!</v>
      </c>
      <c r="T33" s="541" t="e">
        <f t="shared" si="9"/>
        <v>#DIV/0!</v>
      </c>
      <c r="U33" s="312">
        <f t="shared" si="10"/>
        <v>3.37</v>
      </c>
      <c r="V33" s="458">
        <f t="shared" si="11"/>
        <v>33.700000000000003</v>
      </c>
      <c r="W33" s="319" t="e">
        <f t="shared" si="12"/>
        <v>#DIV/0!</v>
      </c>
      <c r="X33" s="467" t="e">
        <f t="shared" si="13"/>
        <v>#DIV/0!</v>
      </c>
      <c r="Y33" s="463" t="e">
        <f t="shared" si="14"/>
        <v>#DIV/0!</v>
      </c>
      <c r="Z33" s="316" t="e">
        <f t="shared" si="15"/>
        <v>#DIV/0!</v>
      </c>
    </row>
    <row r="34" spans="1:26" ht="12.9" customHeight="1">
      <c r="A34" s="152">
        <f t="shared" si="0"/>
        <v>1500</v>
      </c>
      <c r="B34" s="514">
        <v>30</v>
      </c>
      <c r="C34" s="48">
        <f>FORMAT_HAR_V!C34</f>
        <v>0.53400000000000003</v>
      </c>
      <c r="D34" s="518" t="e">
        <f>FORMAT_HAR_V!BX34</f>
        <v>#DIV/0!</v>
      </c>
      <c r="E34" s="381" t="e">
        <f>FORMAT_HAR_V!CA34</f>
        <v>#DIV/0!</v>
      </c>
      <c r="F34" s="305" t="e">
        <f>0.01*FORMAT_HAR_V!AK34*C34*1000</f>
        <v>#DIV/0!</v>
      </c>
      <c r="G34" s="231" t="e">
        <f t="shared" si="1"/>
        <v>#DIV/0!</v>
      </c>
      <c r="H34" s="199">
        <f t="shared" si="20"/>
        <v>2.4408340000000002</v>
      </c>
      <c r="I34" s="358">
        <f t="shared" si="2"/>
        <v>1.5834841725969693</v>
      </c>
      <c r="J34" s="276"/>
      <c r="K34" s="199">
        <f t="shared" si="22"/>
        <v>5.0000000000000001E-3</v>
      </c>
      <c r="L34" s="288" t="e">
        <f t="shared" si="4"/>
        <v>#DIV/0!</v>
      </c>
      <c r="M34" s="286" t="e">
        <f>0.01*FORMAT_HAR_V!BU34*C34*1000</f>
        <v>#DIV/0!</v>
      </c>
      <c r="N34" s="231" t="e">
        <f t="shared" si="5"/>
        <v>#DIV/0!</v>
      </c>
      <c r="O34" s="199">
        <f t="shared" si="21"/>
        <v>2.4408340000000002</v>
      </c>
      <c r="P34" s="358">
        <f t="shared" si="6"/>
        <v>1.5834841725969693</v>
      </c>
      <c r="Q34" s="276"/>
      <c r="R34" s="199">
        <f t="shared" si="23"/>
        <v>5.0000000000000001E-3</v>
      </c>
      <c r="S34" s="288" t="e">
        <f t="shared" si="8"/>
        <v>#DIV/0!</v>
      </c>
      <c r="T34" s="541" t="e">
        <f t="shared" si="9"/>
        <v>#DIV/0!</v>
      </c>
      <c r="U34" s="312">
        <f t="shared" si="10"/>
        <v>2.67</v>
      </c>
      <c r="V34" s="458">
        <f>0.0005*57.735*1000</f>
        <v>28.8675</v>
      </c>
      <c r="W34" s="319" t="e">
        <f t="shared" si="12"/>
        <v>#DIV/0!</v>
      </c>
      <c r="X34" s="467" t="e">
        <f t="shared" si="13"/>
        <v>#DIV/0!</v>
      </c>
      <c r="Y34" s="463" t="e">
        <f t="shared" si="14"/>
        <v>#DIV/0!</v>
      </c>
      <c r="Z34" s="316" t="e">
        <f t="shared" si="15"/>
        <v>#DIV/0!</v>
      </c>
    </row>
    <row r="35" spans="1:26" ht="12.9" customHeight="1">
      <c r="A35" s="152">
        <f t="shared" si="0"/>
        <v>1550</v>
      </c>
      <c r="B35" s="514">
        <v>31</v>
      </c>
      <c r="C35" s="48">
        <f>FORMAT_HAR_V!C35</f>
        <v>0.63200000000000001</v>
      </c>
      <c r="D35" s="518" t="e">
        <f>FORMAT_HAR_V!BX35</f>
        <v>#DIV/0!</v>
      </c>
      <c r="E35" s="381" t="e">
        <f>FORMAT_HAR_V!CA35</f>
        <v>#DIV/0!</v>
      </c>
      <c r="F35" s="305" t="e">
        <f>0.01*FORMAT_HAR_V!AK35*C35*1000</f>
        <v>#DIV/0!</v>
      </c>
      <c r="G35" s="231" t="e">
        <f t="shared" si="1"/>
        <v>#DIV/0!</v>
      </c>
      <c r="H35" s="199">
        <f t="shared" si="20"/>
        <v>2.4850320000000004</v>
      </c>
      <c r="I35" s="358">
        <f t="shared" si="2"/>
        <v>1.8740861368563382</v>
      </c>
      <c r="J35" s="276"/>
      <c r="K35" s="199">
        <f t="shared" si="22"/>
        <v>5.0000000000000001E-3</v>
      </c>
      <c r="L35" s="288" t="e">
        <f t="shared" si="4"/>
        <v>#DIV/0!</v>
      </c>
      <c r="M35" s="286" t="e">
        <f>0.01*FORMAT_HAR_V!BU35*C35*1000</f>
        <v>#DIV/0!</v>
      </c>
      <c r="N35" s="231" t="e">
        <f t="shared" si="5"/>
        <v>#DIV/0!</v>
      </c>
      <c r="O35" s="199">
        <f t="shared" si="21"/>
        <v>2.4850320000000004</v>
      </c>
      <c r="P35" s="358">
        <f t="shared" si="6"/>
        <v>1.8740861368563382</v>
      </c>
      <c r="Q35" s="276"/>
      <c r="R35" s="199">
        <f t="shared" si="23"/>
        <v>5.0000000000000001E-3</v>
      </c>
      <c r="S35" s="288" t="e">
        <f t="shared" si="8"/>
        <v>#DIV/0!</v>
      </c>
      <c r="T35" s="541" t="e">
        <f t="shared" si="9"/>
        <v>#DIV/0!</v>
      </c>
      <c r="U35" s="312">
        <f t="shared" si="10"/>
        <v>3.16</v>
      </c>
      <c r="V35" s="458">
        <f t="shared" si="11"/>
        <v>31.6</v>
      </c>
      <c r="W35" s="319" t="e">
        <f t="shared" si="12"/>
        <v>#DIV/0!</v>
      </c>
      <c r="X35" s="467" t="e">
        <f t="shared" si="13"/>
        <v>#DIV/0!</v>
      </c>
      <c r="Y35" s="463" t="e">
        <f t="shared" si="14"/>
        <v>#DIV/0!</v>
      </c>
      <c r="Z35" s="316" t="e">
        <f t="shared" si="15"/>
        <v>#DIV/0!</v>
      </c>
    </row>
    <row r="36" spans="1:26" ht="12.9" customHeight="1">
      <c r="A36" s="152">
        <f t="shared" si="0"/>
        <v>1600</v>
      </c>
      <c r="B36" s="514">
        <v>32</v>
      </c>
      <c r="C36" s="48">
        <f>FORMAT_HAR_V!C36</f>
        <v>0.5</v>
      </c>
      <c r="D36" s="518" t="e">
        <f>FORMAT_HAR_V!BX36</f>
        <v>#DIV/0!</v>
      </c>
      <c r="E36" s="381" t="e">
        <f>FORMAT_HAR_V!CA36</f>
        <v>#DIV/0!</v>
      </c>
      <c r="F36" s="305" t="e">
        <f>0.01*FORMAT_HAR_V!AK36*C36*1000</f>
        <v>#DIV/0!</v>
      </c>
      <c r="G36" s="231" t="e">
        <f t="shared" si="1"/>
        <v>#DIV/0!</v>
      </c>
      <c r="H36" s="199">
        <f t="shared" si="20"/>
        <v>2.4255</v>
      </c>
      <c r="I36" s="358">
        <f t="shared" si="2"/>
        <v>1.4826630829559637</v>
      </c>
      <c r="J36" s="276"/>
      <c r="K36" s="199">
        <f t="shared" si="22"/>
        <v>5.0000000000000001E-3</v>
      </c>
      <c r="L36" s="288" t="e">
        <f t="shared" si="4"/>
        <v>#DIV/0!</v>
      </c>
      <c r="M36" s="286" t="e">
        <f>0.01*FORMAT_HAR_V!BU36*C36*1000</f>
        <v>#DIV/0!</v>
      </c>
      <c r="N36" s="231" t="e">
        <f t="shared" si="5"/>
        <v>#DIV/0!</v>
      </c>
      <c r="O36" s="199">
        <f t="shared" si="21"/>
        <v>2.4255</v>
      </c>
      <c r="P36" s="358">
        <f t="shared" si="6"/>
        <v>1.4826630829559637</v>
      </c>
      <c r="Q36" s="276"/>
      <c r="R36" s="199">
        <f t="shared" si="23"/>
        <v>5.0000000000000001E-3</v>
      </c>
      <c r="S36" s="288" t="e">
        <f t="shared" si="8"/>
        <v>#DIV/0!</v>
      </c>
      <c r="T36" s="541" t="e">
        <f t="shared" si="9"/>
        <v>#DIV/0!</v>
      </c>
      <c r="U36" s="312">
        <f t="shared" si="10"/>
        <v>2.5</v>
      </c>
      <c r="V36" s="458">
        <f>0.0005*57.735*1000</f>
        <v>28.8675</v>
      </c>
      <c r="W36" s="319" t="e">
        <f t="shared" si="12"/>
        <v>#DIV/0!</v>
      </c>
      <c r="X36" s="467" t="e">
        <f t="shared" si="13"/>
        <v>#DIV/0!</v>
      </c>
      <c r="Y36" s="463" t="e">
        <f t="shared" si="14"/>
        <v>#DIV/0!</v>
      </c>
      <c r="Z36" s="316" t="e">
        <f t="shared" si="15"/>
        <v>#DIV/0!</v>
      </c>
    </row>
    <row r="37" spans="1:26" ht="12.9" customHeight="1">
      <c r="A37" s="152">
        <f t="shared" si="0"/>
        <v>1650</v>
      </c>
      <c r="B37" s="514">
        <v>33</v>
      </c>
      <c r="C37" s="48">
        <f>FORMAT_HAR_V!C37</f>
        <v>0.59199999999999997</v>
      </c>
      <c r="D37" s="518" t="e">
        <f>FORMAT_HAR_V!BX37</f>
        <v>#DIV/0!</v>
      </c>
      <c r="E37" s="381" t="e">
        <f>FORMAT_HAR_V!CA37</f>
        <v>#DIV/0!</v>
      </c>
      <c r="F37" s="305" t="e">
        <f>0.01*FORMAT_HAR_V!AK37*C37*1000</f>
        <v>#DIV/0!</v>
      </c>
      <c r="G37" s="231" t="e">
        <f t="shared" si="1"/>
        <v>#DIV/0!</v>
      </c>
      <c r="H37" s="199">
        <f t="shared" si="20"/>
        <v>2.4669920000000003</v>
      </c>
      <c r="I37" s="358">
        <f t="shared" si="2"/>
        <v>1.7554730902198612</v>
      </c>
      <c r="J37" s="276"/>
      <c r="K37" s="199">
        <f t="shared" si="22"/>
        <v>5.0000000000000001E-3</v>
      </c>
      <c r="L37" s="288" t="e">
        <f t="shared" si="4"/>
        <v>#DIV/0!</v>
      </c>
      <c r="M37" s="286" t="e">
        <f>0.01*FORMAT_HAR_V!BU37*C37*1000</f>
        <v>#DIV/0!</v>
      </c>
      <c r="N37" s="231" t="e">
        <f t="shared" si="5"/>
        <v>#DIV/0!</v>
      </c>
      <c r="O37" s="199">
        <f t="shared" si="21"/>
        <v>2.4669920000000003</v>
      </c>
      <c r="P37" s="358">
        <f t="shared" si="6"/>
        <v>1.7554730902198612</v>
      </c>
      <c r="Q37" s="276"/>
      <c r="R37" s="199">
        <f t="shared" si="23"/>
        <v>5.0000000000000001E-3</v>
      </c>
      <c r="S37" s="288" t="e">
        <f t="shared" si="8"/>
        <v>#DIV/0!</v>
      </c>
      <c r="T37" s="541" t="e">
        <f t="shared" si="9"/>
        <v>#DIV/0!</v>
      </c>
      <c r="U37" s="312">
        <f t="shared" si="10"/>
        <v>2.96</v>
      </c>
      <c r="V37" s="458">
        <f t="shared" si="11"/>
        <v>29.6</v>
      </c>
      <c r="W37" s="319" t="e">
        <f t="shared" si="12"/>
        <v>#DIV/0!</v>
      </c>
      <c r="X37" s="467" t="e">
        <f t="shared" si="13"/>
        <v>#DIV/0!</v>
      </c>
      <c r="Y37" s="463" t="e">
        <f t="shared" si="14"/>
        <v>#DIV/0!</v>
      </c>
      <c r="Z37" s="316" t="e">
        <f t="shared" si="15"/>
        <v>#DIV/0!</v>
      </c>
    </row>
    <row r="38" spans="1:26" ht="12.9" customHeight="1">
      <c r="A38" s="152">
        <f t="shared" si="0"/>
        <v>1700</v>
      </c>
      <c r="B38" s="514">
        <v>34</v>
      </c>
      <c r="C38" s="48">
        <f>FORMAT_HAR_V!C38</f>
        <v>0.47</v>
      </c>
      <c r="D38" s="518" t="e">
        <f>FORMAT_HAR_V!BX38</f>
        <v>#DIV/0!</v>
      </c>
      <c r="E38" s="381" t="e">
        <f>FORMAT_HAR_V!CA38</f>
        <v>#DIV/0!</v>
      </c>
      <c r="F38" s="305" t="e">
        <f>0.01*FORMAT_HAR_V!AK38*C38*1000</f>
        <v>#DIV/0!</v>
      </c>
      <c r="G38" s="231" t="e">
        <f t="shared" si="1"/>
        <v>#DIV/0!</v>
      </c>
      <c r="H38" s="199">
        <f t="shared" si="20"/>
        <v>2.4119700000000002</v>
      </c>
      <c r="I38" s="358">
        <f t="shared" si="2"/>
        <v>1.3937032979786059</v>
      </c>
      <c r="J38" s="276"/>
      <c r="K38" s="199">
        <f t="shared" si="22"/>
        <v>5.0000000000000001E-3</v>
      </c>
      <c r="L38" s="288" t="e">
        <f t="shared" si="4"/>
        <v>#DIV/0!</v>
      </c>
      <c r="M38" s="286" t="e">
        <f>0.01*FORMAT_HAR_V!BU38*C38*1000</f>
        <v>#DIV/0!</v>
      </c>
      <c r="N38" s="231" t="e">
        <f t="shared" si="5"/>
        <v>#DIV/0!</v>
      </c>
      <c r="O38" s="199">
        <f t="shared" si="21"/>
        <v>2.4119700000000002</v>
      </c>
      <c r="P38" s="358">
        <f t="shared" si="6"/>
        <v>1.3937032979786059</v>
      </c>
      <c r="Q38" s="276"/>
      <c r="R38" s="199">
        <f t="shared" si="23"/>
        <v>5.0000000000000001E-3</v>
      </c>
      <c r="S38" s="288" t="e">
        <f t="shared" si="8"/>
        <v>#DIV/0!</v>
      </c>
      <c r="T38" s="541" t="e">
        <f t="shared" si="9"/>
        <v>#DIV/0!</v>
      </c>
      <c r="U38" s="312">
        <f t="shared" si="10"/>
        <v>2.35</v>
      </c>
      <c r="V38" s="458">
        <f>0.0005*57.735*1000</f>
        <v>28.8675</v>
      </c>
      <c r="W38" s="319" t="e">
        <f t="shared" si="12"/>
        <v>#DIV/0!</v>
      </c>
      <c r="X38" s="467" t="e">
        <f t="shared" si="13"/>
        <v>#DIV/0!</v>
      </c>
      <c r="Y38" s="463" t="e">
        <f t="shared" si="14"/>
        <v>#DIV/0!</v>
      </c>
      <c r="Z38" s="316" t="e">
        <f t="shared" si="15"/>
        <v>#DIV/0!</v>
      </c>
    </row>
    <row r="39" spans="1:26" ht="12.9" customHeight="1">
      <c r="A39" s="152">
        <f t="shared" si="0"/>
        <v>1750</v>
      </c>
      <c r="B39" s="514">
        <v>35</v>
      </c>
      <c r="C39" s="48">
        <f>FORMAT_HAR_V!C39</f>
        <v>0.56000000000000005</v>
      </c>
      <c r="D39" s="518" t="e">
        <f>FORMAT_HAR_V!BX39</f>
        <v>#DIV/0!</v>
      </c>
      <c r="E39" s="381" t="e">
        <f>FORMAT_HAR_V!CA39</f>
        <v>#DIV/0!</v>
      </c>
      <c r="F39" s="305" t="e">
        <f>0.01*FORMAT_HAR_V!AK39*C39*1000</f>
        <v>#DIV/0!</v>
      </c>
      <c r="G39" s="231" t="e">
        <f t="shared" si="1"/>
        <v>#DIV/0!</v>
      </c>
      <c r="H39" s="199">
        <f t="shared" si="20"/>
        <v>2.4525600000000005</v>
      </c>
      <c r="I39" s="358">
        <f t="shared" si="2"/>
        <v>1.6605826529106793</v>
      </c>
      <c r="J39" s="276"/>
      <c r="K39" s="199">
        <f t="shared" si="22"/>
        <v>5.0000000000000001E-3</v>
      </c>
      <c r="L39" s="288" t="e">
        <f t="shared" si="4"/>
        <v>#DIV/0!</v>
      </c>
      <c r="M39" s="286" t="e">
        <f>0.01*FORMAT_HAR_V!BU39*C39*1000</f>
        <v>#DIV/0!</v>
      </c>
      <c r="N39" s="231" t="e">
        <f t="shared" si="5"/>
        <v>#DIV/0!</v>
      </c>
      <c r="O39" s="199">
        <f t="shared" si="21"/>
        <v>2.4525600000000005</v>
      </c>
      <c r="P39" s="358">
        <f t="shared" si="6"/>
        <v>1.6605826529106793</v>
      </c>
      <c r="Q39" s="276"/>
      <c r="R39" s="199">
        <f t="shared" si="23"/>
        <v>5.0000000000000001E-3</v>
      </c>
      <c r="S39" s="288" t="e">
        <f t="shared" si="8"/>
        <v>#DIV/0!</v>
      </c>
      <c r="T39" s="541" t="e">
        <f t="shared" si="9"/>
        <v>#DIV/0!</v>
      </c>
      <c r="U39" s="312">
        <f t="shared" si="10"/>
        <v>2.8000000000000003</v>
      </c>
      <c r="V39" s="458">
        <f t="shared" ref="V39:V54" si="24">0.0005*57.735*1000</f>
        <v>28.8675</v>
      </c>
      <c r="W39" s="319" t="e">
        <f t="shared" si="12"/>
        <v>#DIV/0!</v>
      </c>
      <c r="X39" s="467" t="e">
        <f t="shared" si="13"/>
        <v>#DIV/0!</v>
      </c>
      <c r="Y39" s="463" t="e">
        <f t="shared" si="14"/>
        <v>#DIV/0!</v>
      </c>
      <c r="Z39" s="316" t="e">
        <f t="shared" si="15"/>
        <v>#DIV/0!</v>
      </c>
    </row>
    <row r="40" spans="1:26" ht="12.9" customHeight="1">
      <c r="A40" s="152">
        <f t="shared" si="0"/>
        <v>1800</v>
      </c>
      <c r="B40" s="514">
        <v>36</v>
      </c>
      <c r="C40" s="48">
        <f>FORMAT_HAR_V!C40</f>
        <v>0.44400000000000001</v>
      </c>
      <c r="D40" s="518" t="e">
        <f>FORMAT_HAR_V!BX40</f>
        <v>#DIV/0!</v>
      </c>
      <c r="E40" s="381" t="e">
        <f>FORMAT_HAR_V!CA40</f>
        <v>#DIV/0!</v>
      </c>
      <c r="F40" s="305" t="e">
        <f>0.01*FORMAT_HAR_V!AK40*C40*1000</f>
        <v>#DIV/0!</v>
      </c>
      <c r="G40" s="231" t="e">
        <f t="shared" si="1"/>
        <v>#DIV/0!</v>
      </c>
      <c r="H40" s="199">
        <f t="shared" si="20"/>
        <v>2.4002440000000003</v>
      </c>
      <c r="I40" s="358">
        <f t="shared" si="2"/>
        <v>1.3166048176648957</v>
      </c>
      <c r="J40" s="276"/>
      <c r="K40" s="199">
        <f t="shared" si="22"/>
        <v>5.0000000000000001E-3</v>
      </c>
      <c r="L40" s="288" t="e">
        <f t="shared" si="4"/>
        <v>#DIV/0!</v>
      </c>
      <c r="M40" s="286" t="e">
        <f>0.01*FORMAT_HAR_V!BU40*C40*1000</f>
        <v>#DIV/0!</v>
      </c>
      <c r="N40" s="231" t="e">
        <f t="shared" si="5"/>
        <v>#DIV/0!</v>
      </c>
      <c r="O40" s="199">
        <f t="shared" si="21"/>
        <v>2.4002440000000003</v>
      </c>
      <c r="P40" s="358">
        <f t="shared" si="6"/>
        <v>1.3166048176648957</v>
      </c>
      <c r="Q40" s="276"/>
      <c r="R40" s="199">
        <f t="shared" si="23"/>
        <v>5.0000000000000001E-3</v>
      </c>
      <c r="S40" s="288" t="e">
        <f t="shared" si="8"/>
        <v>#DIV/0!</v>
      </c>
      <c r="T40" s="541" t="e">
        <f t="shared" si="9"/>
        <v>#DIV/0!</v>
      </c>
      <c r="U40" s="312">
        <f t="shared" si="10"/>
        <v>2.2200000000000002</v>
      </c>
      <c r="V40" s="458">
        <f t="shared" si="24"/>
        <v>28.8675</v>
      </c>
      <c r="W40" s="319" t="e">
        <f t="shared" si="12"/>
        <v>#DIV/0!</v>
      </c>
      <c r="X40" s="467" t="e">
        <f t="shared" si="13"/>
        <v>#DIV/0!</v>
      </c>
      <c r="Y40" s="463" t="e">
        <f t="shared" si="14"/>
        <v>#DIV/0!</v>
      </c>
      <c r="Z40" s="316" t="e">
        <f t="shared" si="15"/>
        <v>#DIV/0!</v>
      </c>
    </row>
    <row r="41" spans="1:26" ht="12.9" customHeight="1">
      <c r="A41" s="152">
        <f t="shared" si="0"/>
        <v>1850</v>
      </c>
      <c r="B41" s="514">
        <v>37</v>
      </c>
      <c r="C41" s="48">
        <f>FORMAT_HAR_V!C41</f>
        <v>0.52800000000000002</v>
      </c>
      <c r="D41" s="518" t="e">
        <f>FORMAT_HAR_V!BX41</f>
        <v>#DIV/0!</v>
      </c>
      <c r="E41" s="381" t="e">
        <f>FORMAT_HAR_V!CA41</f>
        <v>#DIV/0!</v>
      </c>
      <c r="F41" s="305" t="e">
        <f>0.01*FORMAT_HAR_V!AK41*C41*1000</f>
        <v>#DIV/0!</v>
      </c>
      <c r="G41" s="231" t="e">
        <f t="shared" si="1"/>
        <v>#DIV/0!</v>
      </c>
      <c r="H41" s="199">
        <f t="shared" si="20"/>
        <v>2.4381280000000003</v>
      </c>
      <c r="I41" s="358">
        <f t="shared" si="2"/>
        <v>1.5656922156014978</v>
      </c>
      <c r="J41" s="276"/>
      <c r="K41" s="199">
        <f t="shared" si="22"/>
        <v>5.0000000000000001E-3</v>
      </c>
      <c r="L41" s="288" t="e">
        <f t="shared" si="4"/>
        <v>#DIV/0!</v>
      </c>
      <c r="M41" s="286" t="e">
        <f>0.01*FORMAT_HAR_V!BU41*C41*1000</f>
        <v>#DIV/0!</v>
      </c>
      <c r="N41" s="231" t="e">
        <f t="shared" si="5"/>
        <v>#DIV/0!</v>
      </c>
      <c r="O41" s="199">
        <f t="shared" si="21"/>
        <v>2.4381280000000003</v>
      </c>
      <c r="P41" s="358">
        <f t="shared" si="6"/>
        <v>1.5656922156014978</v>
      </c>
      <c r="Q41" s="276"/>
      <c r="R41" s="199">
        <f t="shared" si="23"/>
        <v>5.0000000000000001E-3</v>
      </c>
      <c r="S41" s="288" t="e">
        <f t="shared" si="8"/>
        <v>#DIV/0!</v>
      </c>
      <c r="T41" s="541" t="e">
        <f t="shared" si="9"/>
        <v>#DIV/0!</v>
      </c>
      <c r="U41" s="312">
        <f t="shared" si="10"/>
        <v>2.64</v>
      </c>
      <c r="V41" s="458">
        <f t="shared" si="24"/>
        <v>28.8675</v>
      </c>
      <c r="W41" s="319" t="e">
        <f t="shared" si="12"/>
        <v>#DIV/0!</v>
      </c>
      <c r="X41" s="467" t="e">
        <f t="shared" si="13"/>
        <v>#DIV/0!</v>
      </c>
      <c r="Y41" s="463" t="e">
        <f t="shared" si="14"/>
        <v>#DIV/0!</v>
      </c>
      <c r="Z41" s="316" t="e">
        <f t="shared" si="15"/>
        <v>#DIV/0!</v>
      </c>
    </row>
    <row r="42" spans="1:26" ht="12.9" customHeight="1">
      <c r="A42" s="152">
        <f t="shared" si="0"/>
        <v>1900</v>
      </c>
      <c r="B42" s="514">
        <v>38</v>
      </c>
      <c r="C42" s="48">
        <f>FORMAT_HAR_V!C42</f>
        <v>0.42199999999999999</v>
      </c>
      <c r="D42" s="518" t="e">
        <f>FORMAT_HAR_V!BX42</f>
        <v>#DIV/0!</v>
      </c>
      <c r="E42" s="381" t="e">
        <f>FORMAT_HAR_V!CA42</f>
        <v>#DIV/0!</v>
      </c>
      <c r="F42" s="305" t="e">
        <f>0.01*FORMAT_HAR_V!AK42*C42*1000</f>
        <v>#DIV/0!</v>
      </c>
      <c r="G42" s="231" t="e">
        <f t="shared" si="1"/>
        <v>#DIV/0!</v>
      </c>
      <c r="H42" s="199">
        <f t="shared" si="20"/>
        <v>2.3903220000000003</v>
      </c>
      <c r="I42" s="358">
        <f t="shared" si="2"/>
        <v>1.2513676420148334</v>
      </c>
      <c r="J42" s="276"/>
      <c r="K42" s="199">
        <f t="shared" si="22"/>
        <v>5.0000000000000001E-3</v>
      </c>
      <c r="L42" s="288" t="e">
        <f t="shared" si="4"/>
        <v>#DIV/0!</v>
      </c>
      <c r="M42" s="286" t="e">
        <f>0.01*FORMAT_HAR_V!BU42*C42*1000</f>
        <v>#DIV/0!</v>
      </c>
      <c r="N42" s="231" t="e">
        <f t="shared" si="5"/>
        <v>#DIV/0!</v>
      </c>
      <c r="O42" s="199">
        <f t="shared" si="21"/>
        <v>2.3903220000000003</v>
      </c>
      <c r="P42" s="358">
        <f t="shared" si="6"/>
        <v>1.2513676420148334</v>
      </c>
      <c r="Q42" s="276"/>
      <c r="R42" s="199">
        <f t="shared" si="23"/>
        <v>5.0000000000000001E-3</v>
      </c>
      <c r="S42" s="288" t="e">
        <f t="shared" si="8"/>
        <v>#DIV/0!</v>
      </c>
      <c r="T42" s="541" t="e">
        <f t="shared" si="9"/>
        <v>#DIV/0!</v>
      </c>
      <c r="U42" s="312">
        <f t="shared" si="10"/>
        <v>2.11</v>
      </c>
      <c r="V42" s="458">
        <f t="shared" si="24"/>
        <v>28.8675</v>
      </c>
      <c r="W42" s="319" t="e">
        <f t="shared" si="12"/>
        <v>#DIV/0!</v>
      </c>
      <c r="X42" s="467" t="e">
        <f t="shared" si="13"/>
        <v>#DIV/0!</v>
      </c>
      <c r="Y42" s="463" t="e">
        <f t="shared" si="14"/>
        <v>#DIV/0!</v>
      </c>
      <c r="Z42" s="316" t="e">
        <f t="shared" si="15"/>
        <v>#DIV/0!</v>
      </c>
    </row>
    <row r="43" spans="1:26" ht="12.9" customHeight="1">
      <c r="A43" s="152">
        <f t="shared" si="0"/>
        <v>1950</v>
      </c>
      <c r="B43" s="514">
        <v>39</v>
      </c>
      <c r="C43" s="48">
        <f>FORMAT_HAR_V!C43</f>
        <v>0.502</v>
      </c>
      <c r="D43" s="518" t="e">
        <f>FORMAT_HAR_V!BX43</f>
        <v>#DIV/0!</v>
      </c>
      <c r="E43" s="381" t="e">
        <f>FORMAT_HAR_V!CA43</f>
        <v>#DIV/0!</v>
      </c>
      <c r="F43" s="305" t="e">
        <f>0.01*FORMAT_HAR_V!AK43*C43*1000</f>
        <v>#DIV/0!</v>
      </c>
      <c r="G43" s="231" t="e">
        <f t="shared" si="1"/>
        <v>#DIV/0!</v>
      </c>
      <c r="H43" s="199">
        <f t="shared" si="20"/>
        <v>2.4264020000000004</v>
      </c>
      <c r="I43" s="358">
        <f t="shared" si="2"/>
        <v>1.4885937352877876</v>
      </c>
      <c r="J43" s="276"/>
      <c r="K43" s="199">
        <f t="shared" si="22"/>
        <v>5.0000000000000001E-3</v>
      </c>
      <c r="L43" s="288" t="e">
        <f t="shared" si="4"/>
        <v>#DIV/0!</v>
      </c>
      <c r="M43" s="286" t="e">
        <f>0.01*FORMAT_HAR_V!BU43*C43*1000</f>
        <v>#DIV/0!</v>
      </c>
      <c r="N43" s="231" t="e">
        <f t="shared" si="5"/>
        <v>#DIV/0!</v>
      </c>
      <c r="O43" s="199">
        <f t="shared" si="21"/>
        <v>2.4264020000000004</v>
      </c>
      <c r="P43" s="358">
        <f t="shared" si="6"/>
        <v>1.4885937352877876</v>
      </c>
      <c r="Q43" s="276"/>
      <c r="R43" s="199">
        <f t="shared" si="23"/>
        <v>5.0000000000000001E-3</v>
      </c>
      <c r="S43" s="288" t="e">
        <f t="shared" si="8"/>
        <v>#DIV/0!</v>
      </c>
      <c r="T43" s="541" t="e">
        <f t="shared" si="9"/>
        <v>#DIV/0!</v>
      </c>
      <c r="U43" s="312">
        <f t="shared" si="10"/>
        <v>2.5100000000000002</v>
      </c>
      <c r="V43" s="458">
        <f t="shared" si="24"/>
        <v>28.8675</v>
      </c>
      <c r="W43" s="319" t="e">
        <f t="shared" si="12"/>
        <v>#DIV/0!</v>
      </c>
      <c r="X43" s="467" t="e">
        <f t="shared" si="13"/>
        <v>#DIV/0!</v>
      </c>
      <c r="Y43" s="463" t="e">
        <f t="shared" si="14"/>
        <v>#DIV/0!</v>
      </c>
      <c r="Z43" s="316" t="e">
        <f t="shared" si="15"/>
        <v>#DIV/0!</v>
      </c>
    </row>
    <row r="44" spans="1:26" ht="12.6" customHeight="1" thickBot="1">
      <c r="A44" s="512">
        <f t="shared" si="0"/>
        <v>2000</v>
      </c>
      <c r="B44" s="515">
        <v>40</v>
      </c>
      <c r="C44" s="49">
        <f>FORMAT_HAR_V!C44</f>
        <v>0.4</v>
      </c>
      <c r="D44" s="519" t="e">
        <f>FORMAT_HAR_V!BX44</f>
        <v>#DIV/0!</v>
      </c>
      <c r="E44" s="382" t="e">
        <f>FORMAT_HAR_V!CA44</f>
        <v>#DIV/0!</v>
      </c>
      <c r="F44" s="499" t="e">
        <f>0.01*FORMAT_HAR_V!AK44*C44*1000</f>
        <v>#DIV/0!</v>
      </c>
      <c r="G44" s="212" t="e">
        <f t="shared" si="1"/>
        <v>#DIV/0!</v>
      </c>
      <c r="H44" s="211">
        <f t="shared" si="20"/>
        <v>2.3803999999999998</v>
      </c>
      <c r="I44" s="358">
        <f t="shared" si="2"/>
        <v>1.1861304663647709</v>
      </c>
      <c r="J44" s="278"/>
      <c r="K44" s="211">
        <f t="shared" si="22"/>
        <v>5.0000000000000001E-3</v>
      </c>
      <c r="L44" s="376" t="e">
        <f t="shared" si="4"/>
        <v>#DIV/0!</v>
      </c>
      <c r="M44" s="233" t="e">
        <f>0.01*FORMAT_HAR_V!BU44*C44*1000</f>
        <v>#DIV/0!</v>
      </c>
      <c r="N44" s="212" t="e">
        <f t="shared" si="5"/>
        <v>#DIV/0!</v>
      </c>
      <c r="O44" s="211">
        <f t="shared" si="21"/>
        <v>2.3803999999999998</v>
      </c>
      <c r="P44" s="358">
        <f t="shared" si="6"/>
        <v>1.1861304663647709</v>
      </c>
      <c r="Q44" s="278"/>
      <c r="R44" s="211">
        <f t="shared" si="23"/>
        <v>5.0000000000000001E-3</v>
      </c>
      <c r="S44" s="376" t="e">
        <f t="shared" si="8"/>
        <v>#DIV/0!</v>
      </c>
      <c r="T44" s="542" t="e">
        <f t="shared" si="9"/>
        <v>#DIV/0!</v>
      </c>
      <c r="U44" s="313">
        <f t="shared" si="10"/>
        <v>2</v>
      </c>
      <c r="V44" s="462">
        <f t="shared" si="24"/>
        <v>28.8675</v>
      </c>
      <c r="W44" s="320" t="e">
        <f t="shared" si="12"/>
        <v>#DIV/0!</v>
      </c>
      <c r="X44" s="468" t="e">
        <f t="shared" si="13"/>
        <v>#DIV/0!</v>
      </c>
      <c r="Y44" s="464" t="e">
        <f t="shared" si="14"/>
        <v>#DIV/0!</v>
      </c>
      <c r="Z44" s="317" t="e">
        <f t="shared" si="15"/>
        <v>#DIV/0!</v>
      </c>
    </row>
    <row r="45" spans="1:26" ht="12.9" customHeight="1">
      <c r="A45" s="151">
        <f t="shared" si="0"/>
        <v>2050</v>
      </c>
      <c r="B45" s="516">
        <v>41</v>
      </c>
      <c r="C45" s="48">
        <f>FORMAT_HAR_V!C45</f>
        <v>0.2</v>
      </c>
      <c r="D45" s="522" t="e">
        <f>FORMAT_HAR_V!BX45</f>
        <v>#DIV/0!</v>
      </c>
      <c r="E45" s="386" t="e">
        <f>FORMAT_HAR_V!CA45</f>
        <v>#DIV/0!</v>
      </c>
      <c r="F45" s="286" t="e">
        <f>0.01*FORMAT_HAR_V!AK45*C45*1000</f>
        <v>#DIV/0!</v>
      </c>
      <c r="G45" s="231" t="e">
        <f t="shared" si="1"/>
        <v>#DIV/0!</v>
      </c>
      <c r="H45" s="199">
        <f t="shared" si="20"/>
        <v>2.2902</v>
      </c>
      <c r="I45" s="276">
        <f t="shared" ref="I45:I54" si="25">1000*C45*$H$58*0.01</f>
        <v>0.24529738195587325</v>
      </c>
      <c r="J45" s="276"/>
      <c r="K45" s="199">
        <f t="shared" si="22"/>
        <v>5.0000000000000001E-3</v>
      </c>
      <c r="L45" s="289" t="e">
        <f t="shared" ref="L45:L54" si="26">2*(G45^2+I45^2/4+J45^2/3+K45^2/3)^0.5</f>
        <v>#DIV/0!</v>
      </c>
      <c r="M45" s="305" t="e">
        <f>0.01*FORMAT_HAR_V!BU45*C45*1000</f>
        <v>#DIV/0!</v>
      </c>
      <c r="N45" s="231" t="e">
        <f t="shared" ref="N45:N54" si="27">M45/10^0.5</f>
        <v>#DIV/0!</v>
      </c>
      <c r="O45" s="199">
        <f t="shared" si="21"/>
        <v>2.2902</v>
      </c>
      <c r="P45" s="276">
        <f t="shared" ref="P45:P54" si="28">1000*C45*$O$58*0.01</f>
        <v>0.24529738195587325</v>
      </c>
      <c r="Q45" s="276"/>
      <c r="R45" s="199">
        <f t="shared" si="23"/>
        <v>5.0000000000000001E-3</v>
      </c>
      <c r="S45" s="289" t="e">
        <f t="shared" si="8"/>
        <v>#DIV/0!</v>
      </c>
      <c r="T45" s="530" t="e">
        <f t="shared" si="9"/>
        <v>#DIV/0!</v>
      </c>
      <c r="U45" s="312">
        <f t="shared" si="10"/>
        <v>1</v>
      </c>
      <c r="V45" s="458">
        <f t="shared" si="24"/>
        <v>28.8675</v>
      </c>
      <c r="W45" s="319" t="e">
        <f t="shared" ref="W45:W54" si="29">IF(ABS(D45)&lt;U45,TRUE,FALSE)</f>
        <v>#DIV/0!</v>
      </c>
      <c r="X45" s="467" t="e">
        <f t="shared" ref="X45:X54" si="30">IF(ABS(E45)&lt;U45,TRUE,FALSE)</f>
        <v>#DIV/0!</v>
      </c>
      <c r="Y45" s="463" t="e">
        <f t="shared" ref="Y45:Y54" si="31">IF(ABS(D45)&lt;V45,TRUE,FALSE)</f>
        <v>#DIV/0!</v>
      </c>
      <c r="Z45" s="316" t="e">
        <f t="shared" ref="Z45:Z54" si="32">IF(ABS(E45)&lt;V45,TRUE,FALSE)</f>
        <v>#DIV/0!</v>
      </c>
    </row>
    <row r="46" spans="1:26" ht="12.9" customHeight="1">
      <c r="A46" s="152">
        <f t="shared" si="0"/>
        <v>2100</v>
      </c>
      <c r="B46" s="514">
        <v>42</v>
      </c>
      <c r="C46" s="48">
        <f>FORMAT_HAR_V!C46</f>
        <v>0.2</v>
      </c>
      <c r="D46" s="522" t="e">
        <f>FORMAT_HAR_V!BX46</f>
        <v>#DIV/0!</v>
      </c>
      <c r="E46" s="386" t="e">
        <f>FORMAT_HAR_V!CA46</f>
        <v>#DIV/0!</v>
      </c>
      <c r="F46" s="286" t="e">
        <f>0.01*FORMAT_HAR_V!AK46*C46*1000</f>
        <v>#DIV/0!</v>
      </c>
      <c r="G46" s="231" t="e">
        <f t="shared" si="1"/>
        <v>#DIV/0!</v>
      </c>
      <c r="H46" s="199">
        <f t="shared" si="20"/>
        <v>2.2902</v>
      </c>
      <c r="I46" s="276">
        <f t="shared" si="25"/>
        <v>0.24529738195587325</v>
      </c>
      <c r="J46" s="276"/>
      <c r="K46" s="199">
        <f t="shared" si="22"/>
        <v>5.0000000000000001E-3</v>
      </c>
      <c r="L46" s="289" t="e">
        <f t="shared" si="26"/>
        <v>#DIV/0!</v>
      </c>
      <c r="M46" s="305" t="e">
        <f>0.01*FORMAT_HAR_V!BU46*C46*1000</f>
        <v>#DIV/0!</v>
      </c>
      <c r="N46" s="231" t="e">
        <f t="shared" si="27"/>
        <v>#DIV/0!</v>
      </c>
      <c r="O46" s="199">
        <f t="shared" si="21"/>
        <v>2.2902</v>
      </c>
      <c r="P46" s="276">
        <f t="shared" si="28"/>
        <v>0.24529738195587325</v>
      </c>
      <c r="Q46" s="276"/>
      <c r="R46" s="199">
        <f t="shared" si="23"/>
        <v>5.0000000000000001E-3</v>
      </c>
      <c r="S46" s="289" t="e">
        <f t="shared" si="8"/>
        <v>#DIV/0!</v>
      </c>
      <c r="T46" s="541" t="e">
        <f t="shared" si="9"/>
        <v>#DIV/0!</v>
      </c>
      <c r="U46" s="312">
        <f t="shared" si="10"/>
        <v>1</v>
      </c>
      <c r="V46" s="458">
        <f t="shared" si="24"/>
        <v>28.8675</v>
      </c>
      <c r="W46" s="319" t="e">
        <f t="shared" si="29"/>
        <v>#DIV/0!</v>
      </c>
      <c r="X46" s="467" t="e">
        <f t="shared" si="30"/>
        <v>#DIV/0!</v>
      </c>
      <c r="Y46" s="463" t="e">
        <f t="shared" si="31"/>
        <v>#DIV/0!</v>
      </c>
      <c r="Z46" s="316" t="e">
        <f t="shared" si="32"/>
        <v>#DIV/0!</v>
      </c>
    </row>
    <row r="47" spans="1:26" ht="12.9" customHeight="1">
      <c r="A47" s="152">
        <f t="shared" si="0"/>
        <v>2150</v>
      </c>
      <c r="B47" s="514">
        <v>43</v>
      </c>
      <c r="C47" s="48">
        <f>FORMAT_HAR_V!C47</f>
        <v>0.2</v>
      </c>
      <c r="D47" s="522" t="e">
        <f>FORMAT_HAR_V!BX47</f>
        <v>#DIV/0!</v>
      </c>
      <c r="E47" s="386" t="e">
        <f>FORMAT_HAR_V!CA47</f>
        <v>#DIV/0!</v>
      </c>
      <c r="F47" s="286" t="e">
        <f>0.01*FORMAT_HAR_V!AK47*C47*1000</f>
        <v>#DIV/0!</v>
      </c>
      <c r="G47" s="231" t="e">
        <f t="shared" si="1"/>
        <v>#DIV/0!</v>
      </c>
      <c r="H47" s="199">
        <f t="shared" si="20"/>
        <v>2.2902</v>
      </c>
      <c r="I47" s="276">
        <f t="shared" si="25"/>
        <v>0.24529738195587325</v>
      </c>
      <c r="J47" s="276"/>
      <c r="K47" s="199">
        <f t="shared" si="22"/>
        <v>5.0000000000000001E-3</v>
      </c>
      <c r="L47" s="289" t="e">
        <f t="shared" si="26"/>
        <v>#DIV/0!</v>
      </c>
      <c r="M47" s="305" t="e">
        <f>0.01*FORMAT_HAR_V!BU47*C47*1000</f>
        <v>#DIV/0!</v>
      </c>
      <c r="N47" s="231" t="e">
        <f t="shared" si="27"/>
        <v>#DIV/0!</v>
      </c>
      <c r="O47" s="199">
        <f t="shared" si="21"/>
        <v>2.2902</v>
      </c>
      <c r="P47" s="276">
        <f t="shared" si="28"/>
        <v>0.24529738195587325</v>
      </c>
      <c r="Q47" s="276"/>
      <c r="R47" s="199">
        <f t="shared" si="23"/>
        <v>5.0000000000000001E-3</v>
      </c>
      <c r="S47" s="289" t="e">
        <f t="shared" si="8"/>
        <v>#DIV/0!</v>
      </c>
      <c r="T47" s="541" t="e">
        <f t="shared" si="9"/>
        <v>#DIV/0!</v>
      </c>
      <c r="U47" s="312">
        <f t="shared" si="10"/>
        <v>1</v>
      </c>
      <c r="V47" s="458">
        <f t="shared" si="24"/>
        <v>28.8675</v>
      </c>
      <c r="W47" s="319" t="e">
        <f t="shared" si="29"/>
        <v>#DIV/0!</v>
      </c>
      <c r="X47" s="467" t="e">
        <f t="shared" si="30"/>
        <v>#DIV/0!</v>
      </c>
      <c r="Y47" s="463" t="e">
        <f t="shared" si="31"/>
        <v>#DIV/0!</v>
      </c>
      <c r="Z47" s="316" t="e">
        <f t="shared" si="32"/>
        <v>#DIV/0!</v>
      </c>
    </row>
    <row r="48" spans="1:26" ht="12.9" customHeight="1">
      <c r="A48" s="152">
        <f t="shared" si="0"/>
        <v>2200</v>
      </c>
      <c r="B48" s="514">
        <v>44</v>
      </c>
      <c r="C48" s="48">
        <f>FORMAT_HAR_V!C48</f>
        <v>0.2</v>
      </c>
      <c r="D48" s="522" t="e">
        <f>FORMAT_HAR_V!BX48</f>
        <v>#DIV/0!</v>
      </c>
      <c r="E48" s="386" t="e">
        <f>FORMAT_HAR_V!CA48</f>
        <v>#DIV/0!</v>
      </c>
      <c r="F48" s="286" t="e">
        <f>0.01*FORMAT_HAR_V!AK48*C48*1000</f>
        <v>#DIV/0!</v>
      </c>
      <c r="G48" s="231" t="e">
        <f t="shared" si="1"/>
        <v>#DIV/0!</v>
      </c>
      <c r="H48" s="199">
        <f t="shared" si="20"/>
        <v>2.2902</v>
      </c>
      <c r="I48" s="276">
        <f t="shared" si="25"/>
        <v>0.24529738195587325</v>
      </c>
      <c r="J48" s="276"/>
      <c r="K48" s="199">
        <f t="shared" si="22"/>
        <v>5.0000000000000001E-3</v>
      </c>
      <c r="L48" s="289" t="e">
        <f t="shared" si="26"/>
        <v>#DIV/0!</v>
      </c>
      <c r="M48" s="305" t="e">
        <f>0.01*FORMAT_HAR_V!BU48*C48*1000</f>
        <v>#DIV/0!</v>
      </c>
      <c r="N48" s="231" t="e">
        <f t="shared" si="27"/>
        <v>#DIV/0!</v>
      </c>
      <c r="O48" s="199">
        <f t="shared" si="21"/>
        <v>2.2902</v>
      </c>
      <c r="P48" s="276">
        <f t="shared" si="28"/>
        <v>0.24529738195587325</v>
      </c>
      <c r="Q48" s="276"/>
      <c r="R48" s="199">
        <f t="shared" si="23"/>
        <v>5.0000000000000001E-3</v>
      </c>
      <c r="S48" s="289" t="e">
        <f t="shared" si="8"/>
        <v>#DIV/0!</v>
      </c>
      <c r="T48" s="541" t="e">
        <f t="shared" si="9"/>
        <v>#DIV/0!</v>
      </c>
      <c r="U48" s="312">
        <f t="shared" si="10"/>
        <v>1</v>
      </c>
      <c r="V48" s="458">
        <f t="shared" si="24"/>
        <v>28.8675</v>
      </c>
      <c r="W48" s="319" t="e">
        <f t="shared" si="29"/>
        <v>#DIV/0!</v>
      </c>
      <c r="X48" s="467" t="e">
        <f t="shared" si="30"/>
        <v>#DIV/0!</v>
      </c>
      <c r="Y48" s="463" t="e">
        <f t="shared" si="31"/>
        <v>#DIV/0!</v>
      </c>
      <c r="Z48" s="316" t="e">
        <f t="shared" si="32"/>
        <v>#DIV/0!</v>
      </c>
    </row>
    <row r="49" spans="1:26" ht="12.9" customHeight="1">
      <c r="A49" s="152">
        <f t="shared" si="0"/>
        <v>2250</v>
      </c>
      <c r="B49" s="514">
        <v>45</v>
      </c>
      <c r="C49" s="48">
        <f>FORMAT_HAR_V!C49</f>
        <v>0.2</v>
      </c>
      <c r="D49" s="522" t="e">
        <f>FORMAT_HAR_V!BX49</f>
        <v>#DIV/0!</v>
      </c>
      <c r="E49" s="386" t="e">
        <f>FORMAT_HAR_V!CA49</f>
        <v>#DIV/0!</v>
      </c>
      <c r="F49" s="286" t="e">
        <f>0.01*FORMAT_HAR_V!AK49*C49*1000</f>
        <v>#DIV/0!</v>
      </c>
      <c r="G49" s="231" t="e">
        <f t="shared" si="1"/>
        <v>#DIV/0!</v>
      </c>
      <c r="H49" s="199">
        <f t="shared" si="20"/>
        <v>2.2902</v>
      </c>
      <c r="I49" s="276">
        <f t="shared" si="25"/>
        <v>0.24529738195587325</v>
      </c>
      <c r="J49" s="276"/>
      <c r="K49" s="199">
        <f t="shared" si="22"/>
        <v>5.0000000000000001E-3</v>
      </c>
      <c r="L49" s="289" t="e">
        <f t="shared" si="26"/>
        <v>#DIV/0!</v>
      </c>
      <c r="M49" s="305" t="e">
        <f>0.01*FORMAT_HAR_V!BU49*C49*1000</f>
        <v>#DIV/0!</v>
      </c>
      <c r="N49" s="231" t="e">
        <f t="shared" si="27"/>
        <v>#DIV/0!</v>
      </c>
      <c r="O49" s="199">
        <f t="shared" si="21"/>
        <v>2.2902</v>
      </c>
      <c r="P49" s="276">
        <f t="shared" si="28"/>
        <v>0.24529738195587325</v>
      </c>
      <c r="Q49" s="276"/>
      <c r="R49" s="199">
        <f t="shared" si="23"/>
        <v>5.0000000000000001E-3</v>
      </c>
      <c r="S49" s="289" t="e">
        <f t="shared" si="8"/>
        <v>#DIV/0!</v>
      </c>
      <c r="T49" s="541" t="e">
        <f t="shared" si="9"/>
        <v>#DIV/0!</v>
      </c>
      <c r="U49" s="312">
        <f t="shared" si="10"/>
        <v>1</v>
      </c>
      <c r="V49" s="458">
        <f t="shared" si="24"/>
        <v>28.8675</v>
      </c>
      <c r="W49" s="319" t="e">
        <f t="shared" si="29"/>
        <v>#DIV/0!</v>
      </c>
      <c r="X49" s="467" t="e">
        <f t="shared" si="30"/>
        <v>#DIV/0!</v>
      </c>
      <c r="Y49" s="463" t="e">
        <f t="shared" si="31"/>
        <v>#DIV/0!</v>
      </c>
      <c r="Z49" s="316" t="e">
        <f t="shared" si="32"/>
        <v>#DIV/0!</v>
      </c>
    </row>
    <row r="50" spans="1:26" ht="12.9" customHeight="1">
      <c r="A50" s="152">
        <f t="shared" si="0"/>
        <v>2300</v>
      </c>
      <c r="B50" s="514">
        <v>46</v>
      </c>
      <c r="C50" s="48">
        <f>FORMAT_HAR_V!C50</f>
        <v>0.2</v>
      </c>
      <c r="D50" s="522" t="e">
        <f>FORMAT_HAR_V!BX50</f>
        <v>#DIV/0!</v>
      </c>
      <c r="E50" s="386" t="e">
        <f>FORMAT_HAR_V!CA50</f>
        <v>#DIV/0!</v>
      </c>
      <c r="F50" s="286" t="e">
        <f>0.01*FORMAT_HAR_V!AK50*C50*1000</f>
        <v>#DIV/0!</v>
      </c>
      <c r="G50" s="231" t="e">
        <f t="shared" si="1"/>
        <v>#DIV/0!</v>
      </c>
      <c r="H50" s="199">
        <f t="shared" si="20"/>
        <v>2.2902</v>
      </c>
      <c r="I50" s="276">
        <f t="shared" si="25"/>
        <v>0.24529738195587325</v>
      </c>
      <c r="J50" s="276"/>
      <c r="K50" s="199">
        <f t="shared" si="22"/>
        <v>5.0000000000000001E-3</v>
      </c>
      <c r="L50" s="289" t="e">
        <f t="shared" si="26"/>
        <v>#DIV/0!</v>
      </c>
      <c r="M50" s="305" t="e">
        <f>0.01*FORMAT_HAR_V!BU50*C50*1000</f>
        <v>#DIV/0!</v>
      </c>
      <c r="N50" s="231" t="e">
        <f t="shared" si="27"/>
        <v>#DIV/0!</v>
      </c>
      <c r="O50" s="199">
        <f t="shared" si="21"/>
        <v>2.2902</v>
      </c>
      <c r="P50" s="276">
        <f t="shared" si="28"/>
        <v>0.24529738195587325</v>
      </c>
      <c r="Q50" s="276"/>
      <c r="R50" s="199">
        <f t="shared" si="23"/>
        <v>5.0000000000000001E-3</v>
      </c>
      <c r="S50" s="289" t="e">
        <f t="shared" si="8"/>
        <v>#DIV/0!</v>
      </c>
      <c r="T50" s="541" t="e">
        <f t="shared" si="9"/>
        <v>#DIV/0!</v>
      </c>
      <c r="U50" s="312">
        <f t="shared" si="10"/>
        <v>1</v>
      </c>
      <c r="V50" s="458">
        <f t="shared" si="24"/>
        <v>28.8675</v>
      </c>
      <c r="W50" s="319" t="e">
        <f t="shared" si="29"/>
        <v>#DIV/0!</v>
      </c>
      <c r="X50" s="467" t="e">
        <f t="shared" si="30"/>
        <v>#DIV/0!</v>
      </c>
      <c r="Y50" s="463" t="e">
        <f t="shared" si="31"/>
        <v>#DIV/0!</v>
      </c>
      <c r="Z50" s="316" t="e">
        <f t="shared" si="32"/>
        <v>#DIV/0!</v>
      </c>
    </row>
    <row r="51" spans="1:26" ht="12.9" customHeight="1">
      <c r="A51" s="152">
        <f t="shared" si="0"/>
        <v>2350</v>
      </c>
      <c r="B51" s="514">
        <v>47</v>
      </c>
      <c r="C51" s="48">
        <f>FORMAT_HAR_V!C51</f>
        <v>0.2</v>
      </c>
      <c r="D51" s="522" t="e">
        <f>FORMAT_HAR_V!BX51</f>
        <v>#DIV/0!</v>
      </c>
      <c r="E51" s="386" t="e">
        <f>FORMAT_HAR_V!CA51</f>
        <v>#DIV/0!</v>
      </c>
      <c r="F51" s="286" t="e">
        <f>0.01*FORMAT_HAR_V!AK51*C51*1000</f>
        <v>#DIV/0!</v>
      </c>
      <c r="G51" s="231" t="e">
        <f t="shared" si="1"/>
        <v>#DIV/0!</v>
      </c>
      <c r="H51" s="199">
        <f t="shared" si="20"/>
        <v>2.2902</v>
      </c>
      <c r="I51" s="276">
        <f t="shared" si="25"/>
        <v>0.24529738195587325</v>
      </c>
      <c r="J51" s="276"/>
      <c r="K51" s="199">
        <f t="shared" si="22"/>
        <v>5.0000000000000001E-3</v>
      </c>
      <c r="L51" s="289" t="e">
        <f t="shared" si="26"/>
        <v>#DIV/0!</v>
      </c>
      <c r="M51" s="305" t="e">
        <f>0.01*FORMAT_HAR_V!BU51*C51*1000</f>
        <v>#DIV/0!</v>
      </c>
      <c r="N51" s="231" t="e">
        <f t="shared" si="27"/>
        <v>#DIV/0!</v>
      </c>
      <c r="O51" s="199">
        <f t="shared" si="21"/>
        <v>2.2902</v>
      </c>
      <c r="P51" s="276">
        <f t="shared" si="28"/>
        <v>0.24529738195587325</v>
      </c>
      <c r="Q51" s="276"/>
      <c r="R51" s="199">
        <f t="shared" si="23"/>
        <v>5.0000000000000001E-3</v>
      </c>
      <c r="S51" s="289" t="e">
        <f t="shared" si="8"/>
        <v>#DIV/0!</v>
      </c>
      <c r="T51" s="541" t="e">
        <f t="shared" si="9"/>
        <v>#DIV/0!</v>
      </c>
      <c r="U51" s="312">
        <f t="shared" si="10"/>
        <v>1</v>
      </c>
      <c r="V51" s="458">
        <f t="shared" si="24"/>
        <v>28.8675</v>
      </c>
      <c r="W51" s="319" t="e">
        <f t="shared" si="29"/>
        <v>#DIV/0!</v>
      </c>
      <c r="X51" s="467" t="e">
        <f t="shared" si="30"/>
        <v>#DIV/0!</v>
      </c>
      <c r="Y51" s="463" t="e">
        <f t="shared" si="31"/>
        <v>#DIV/0!</v>
      </c>
      <c r="Z51" s="316" t="e">
        <f t="shared" si="32"/>
        <v>#DIV/0!</v>
      </c>
    </row>
    <row r="52" spans="1:26" ht="12.9" customHeight="1">
      <c r="A52" s="152">
        <f t="shared" si="0"/>
        <v>2400</v>
      </c>
      <c r="B52" s="514">
        <v>48</v>
      </c>
      <c r="C52" s="48">
        <f>FORMAT_HAR_V!C52</f>
        <v>0.2</v>
      </c>
      <c r="D52" s="522" t="e">
        <f>FORMAT_HAR_V!BX52</f>
        <v>#DIV/0!</v>
      </c>
      <c r="E52" s="386" t="e">
        <f>FORMAT_HAR_V!CA52</f>
        <v>#DIV/0!</v>
      </c>
      <c r="F52" s="286" t="e">
        <f>0.01*FORMAT_HAR_V!AK52*C52*1000</f>
        <v>#DIV/0!</v>
      </c>
      <c r="G52" s="231" t="e">
        <f t="shared" si="1"/>
        <v>#DIV/0!</v>
      </c>
      <c r="H52" s="199">
        <f t="shared" si="20"/>
        <v>2.2902</v>
      </c>
      <c r="I52" s="276">
        <f t="shared" si="25"/>
        <v>0.24529738195587325</v>
      </c>
      <c r="J52" s="276"/>
      <c r="K52" s="199">
        <f t="shared" si="22"/>
        <v>5.0000000000000001E-3</v>
      </c>
      <c r="L52" s="289" t="e">
        <f t="shared" si="26"/>
        <v>#DIV/0!</v>
      </c>
      <c r="M52" s="305" t="e">
        <f>0.01*FORMAT_HAR_V!BU52*C52*1000</f>
        <v>#DIV/0!</v>
      </c>
      <c r="N52" s="231" t="e">
        <f t="shared" si="27"/>
        <v>#DIV/0!</v>
      </c>
      <c r="O52" s="199">
        <f t="shared" si="21"/>
        <v>2.2902</v>
      </c>
      <c r="P52" s="276">
        <f t="shared" si="28"/>
        <v>0.24529738195587325</v>
      </c>
      <c r="Q52" s="276"/>
      <c r="R52" s="199">
        <f t="shared" si="23"/>
        <v>5.0000000000000001E-3</v>
      </c>
      <c r="S52" s="289" t="e">
        <f t="shared" si="8"/>
        <v>#DIV/0!</v>
      </c>
      <c r="T52" s="541" t="e">
        <f t="shared" si="9"/>
        <v>#DIV/0!</v>
      </c>
      <c r="U52" s="312">
        <f t="shared" si="10"/>
        <v>1</v>
      </c>
      <c r="V52" s="458">
        <f t="shared" si="24"/>
        <v>28.8675</v>
      </c>
      <c r="W52" s="319" t="e">
        <f t="shared" si="29"/>
        <v>#DIV/0!</v>
      </c>
      <c r="X52" s="467" t="e">
        <f t="shared" si="30"/>
        <v>#DIV/0!</v>
      </c>
      <c r="Y52" s="463" t="e">
        <f t="shared" si="31"/>
        <v>#DIV/0!</v>
      </c>
      <c r="Z52" s="316" t="e">
        <f t="shared" si="32"/>
        <v>#DIV/0!</v>
      </c>
    </row>
    <row r="53" spans="1:26" ht="12.9" customHeight="1">
      <c r="A53" s="152">
        <f t="shared" si="0"/>
        <v>2450</v>
      </c>
      <c r="B53" s="514">
        <v>49</v>
      </c>
      <c r="C53" s="48">
        <f>FORMAT_HAR_V!C53</f>
        <v>0.2</v>
      </c>
      <c r="D53" s="522" t="e">
        <f>FORMAT_HAR_V!BX53</f>
        <v>#DIV/0!</v>
      </c>
      <c r="E53" s="386" t="e">
        <f>FORMAT_HAR_V!CA53</f>
        <v>#DIV/0!</v>
      </c>
      <c r="F53" s="286" t="e">
        <f>0.01*FORMAT_HAR_V!AK53*C53*1000</f>
        <v>#DIV/0!</v>
      </c>
      <c r="G53" s="231" t="e">
        <f t="shared" si="1"/>
        <v>#DIV/0!</v>
      </c>
      <c r="H53" s="199">
        <f t="shared" si="20"/>
        <v>2.2902</v>
      </c>
      <c r="I53" s="276">
        <f t="shared" si="25"/>
        <v>0.24529738195587325</v>
      </c>
      <c r="J53" s="276"/>
      <c r="K53" s="199">
        <f t="shared" si="22"/>
        <v>5.0000000000000001E-3</v>
      </c>
      <c r="L53" s="289" t="e">
        <f t="shared" si="26"/>
        <v>#DIV/0!</v>
      </c>
      <c r="M53" s="305" t="e">
        <f>0.01*FORMAT_HAR_V!BU53*C53*1000</f>
        <v>#DIV/0!</v>
      </c>
      <c r="N53" s="231" t="e">
        <f t="shared" si="27"/>
        <v>#DIV/0!</v>
      </c>
      <c r="O53" s="199">
        <f t="shared" si="21"/>
        <v>2.2902</v>
      </c>
      <c r="P53" s="276">
        <f t="shared" si="28"/>
        <v>0.24529738195587325</v>
      </c>
      <c r="Q53" s="276"/>
      <c r="R53" s="199">
        <f t="shared" si="23"/>
        <v>5.0000000000000001E-3</v>
      </c>
      <c r="S53" s="289" t="e">
        <f t="shared" si="8"/>
        <v>#DIV/0!</v>
      </c>
      <c r="T53" s="541" t="e">
        <f t="shared" si="9"/>
        <v>#DIV/0!</v>
      </c>
      <c r="U53" s="312">
        <f t="shared" si="10"/>
        <v>1</v>
      </c>
      <c r="V53" s="458">
        <f t="shared" si="24"/>
        <v>28.8675</v>
      </c>
      <c r="W53" s="319" t="e">
        <f t="shared" si="29"/>
        <v>#DIV/0!</v>
      </c>
      <c r="X53" s="467" t="e">
        <f t="shared" si="30"/>
        <v>#DIV/0!</v>
      </c>
      <c r="Y53" s="463" t="e">
        <f t="shared" si="31"/>
        <v>#DIV/0!</v>
      </c>
      <c r="Z53" s="316" t="e">
        <f t="shared" si="32"/>
        <v>#DIV/0!</v>
      </c>
    </row>
    <row r="54" spans="1:26" ht="12.9" customHeight="1" thickBot="1">
      <c r="A54" s="512">
        <f t="shared" si="0"/>
        <v>2500</v>
      </c>
      <c r="B54" s="515">
        <v>50</v>
      </c>
      <c r="C54" s="49">
        <f>FORMAT_HAR_V!C54</f>
        <v>0.2</v>
      </c>
      <c r="D54" s="523" t="e">
        <f>FORMAT_HAR_V!BX54</f>
        <v>#DIV/0!</v>
      </c>
      <c r="E54" s="387" t="e">
        <f>FORMAT_HAR_V!CA54</f>
        <v>#DIV/0!</v>
      </c>
      <c r="F54" s="233" t="e">
        <f>0.01*FORMAT_HAR_V!AK54*C54*1000</f>
        <v>#DIV/0!</v>
      </c>
      <c r="G54" s="212" t="e">
        <f t="shared" si="1"/>
        <v>#DIV/0!</v>
      </c>
      <c r="H54" s="211">
        <f t="shared" si="20"/>
        <v>2.2902</v>
      </c>
      <c r="I54" s="278">
        <f t="shared" si="25"/>
        <v>0.24529738195587325</v>
      </c>
      <c r="J54" s="278"/>
      <c r="K54" s="211">
        <f t="shared" si="22"/>
        <v>5.0000000000000001E-3</v>
      </c>
      <c r="L54" s="284" t="e">
        <f t="shared" si="26"/>
        <v>#DIV/0!</v>
      </c>
      <c r="M54" s="233" t="e">
        <f>0.01*FORMAT_HAR_V!BU54*C54*1000</f>
        <v>#DIV/0!</v>
      </c>
      <c r="N54" s="212" t="e">
        <f t="shared" si="27"/>
        <v>#DIV/0!</v>
      </c>
      <c r="O54" s="211">
        <f t="shared" si="21"/>
        <v>2.2902</v>
      </c>
      <c r="P54" s="278">
        <f t="shared" si="28"/>
        <v>0.24529738195587325</v>
      </c>
      <c r="Q54" s="278"/>
      <c r="R54" s="211">
        <f t="shared" si="23"/>
        <v>5.0000000000000001E-3</v>
      </c>
      <c r="S54" s="284" t="e">
        <f t="shared" si="8"/>
        <v>#DIV/0!</v>
      </c>
      <c r="T54" s="542" t="e">
        <f t="shared" si="9"/>
        <v>#DIV/0!</v>
      </c>
      <c r="U54" s="368">
        <f t="shared" si="10"/>
        <v>1</v>
      </c>
      <c r="V54" s="498">
        <f t="shared" si="24"/>
        <v>28.8675</v>
      </c>
      <c r="W54" s="457" t="e">
        <f t="shared" si="29"/>
        <v>#DIV/0!</v>
      </c>
      <c r="X54" s="470" t="e">
        <f t="shared" si="30"/>
        <v>#DIV/0!</v>
      </c>
      <c r="Y54" s="466" t="e">
        <f t="shared" si="31"/>
        <v>#DIV/0!</v>
      </c>
      <c r="Z54" s="369" t="e">
        <f t="shared" si="32"/>
        <v>#DIV/0!</v>
      </c>
    </row>
    <row r="55" spans="1:26" ht="12.9" customHeight="1">
      <c r="C55" s="277">
        <f>(C5^2+C6^2+C7^2+C8^2+C9^2+C10^2+C11^2+C12^2+C13^2+C14^2+C15^2+C16^2+C17^2+C18^2+C19^2+C20^2+C21^2+C22^2+C23^2+C24^2+C25^2+C26^2+C27^2+C28^2+C29^2+C30^2+C31^2+C32^2+C33^2+C34^2+C35^2+C36^2+C37^2+C38^2+C39^2+C40^2+C41^2+C42^2+C43^2+C44^2)^0.5</f>
        <v>33.161369272091271</v>
      </c>
      <c r="F55" s="206" t="s">
        <v>122</v>
      </c>
      <c r="G55" s="279" t="s">
        <v>98</v>
      </c>
      <c r="H55" s="280">
        <f>SUM(H5:H44)</f>
        <v>98.334275999999988</v>
      </c>
      <c r="N55" s="279" t="s">
        <v>98</v>
      </c>
      <c r="O55" s="280">
        <f>SUM(O5:O44)</f>
        <v>98.334275999999988</v>
      </c>
    </row>
    <row r="56" spans="1:26" ht="12.9" customHeight="1">
      <c r="G56" s="208" t="s">
        <v>51</v>
      </c>
      <c r="H56" s="230">
        <f>0.1*H55/$C$55</f>
        <v>0.29653261659119273</v>
      </c>
      <c r="N56" s="208" t="s">
        <v>51</v>
      </c>
      <c r="O56" s="230">
        <f>0.1*O55/$C$55</f>
        <v>0.29653261659119273</v>
      </c>
    </row>
    <row r="57" spans="1:26" ht="12.9" customHeight="1">
      <c r="C57" s="277">
        <f>(C5^2+C45^2+C46^2+C47^2+C48^2+C49^2+C50^2+C51^2+C52^2+C53^2+C54^2)^0.5</f>
        <v>20.009997501249224</v>
      </c>
      <c r="F57" s="206" t="s">
        <v>123</v>
      </c>
      <c r="G57" s="279" t="s">
        <v>98</v>
      </c>
      <c r="H57" s="280">
        <f>SUM(H45:H54)+H5</f>
        <v>24.541999999999998</v>
      </c>
      <c r="N57" s="279" t="s">
        <v>98</v>
      </c>
      <c r="O57" s="280">
        <f>SUM(O45:O54)+O5</f>
        <v>24.541999999999998</v>
      </c>
    </row>
    <row r="58" spans="1:26" ht="12.9" customHeight="1">
      <c r="G58" s="208" t="s">
        <v>51</v>
      </c>
      <c r="H58" s="230">
        <f>0.1*H57/$C$57</f>
        <v>0.12264869097793663</v>
      </c>
      <c r="N58" s="208" t="s">
        <v>51</v>
      </c>
      <c r="O58" s="230">
        <f>0.1*O57/$C$57</f>
        <v>0.12264869097793663</v>
      </c>
    </row>
    <row r="59" spans="1:26" ht="12" thickBot="1"/>
    <row r="60" spans="1:26" s="77" customFormat="1" ht="15.75" customHeight="1" thickBot="1">
      <c r="B60" s="638" t="s">
        <v>55</v>
      </c>
      <c r="C60" s="639"/>
      <c r="D60" s="639"/>
      <c r="E60" s="640"/>
      <c r="F60" s="620" t="s">
        <v>56</v>
      </c>
      <c r="G60" s="620"/>
      <c r="H60" s="620"/>
      <c r="I60" s="620"/>
      <c r="J60" s="620"/>
      <c r="K60" s="620"/>
      <c r="L60" s="620"/>
      <c r="M60" s="620"/>
      <c r="N60" s="620"/>
      <c r="O60" s="620"/>
      <c r="P60" s="620"/>
      <c r="Q60" s="620"/>
      <c r="R60" s="620"/>
      <c r="S60" s="621"/>
    </row>
    <row r="61" spans="1:26" ht="18" customHeight="1" thickBot="1">
      <c r="B61" s="624" t="s">
        <v>69</v>
      </c>
      <c r="C61" s="625"/>
      <c r="D61" s="651" t="s">
        <v>77</v>
      </c>
      <c r="E61" s="625"/>
      <c r="F61" s="627" t="s">
        <v>47</v>
      </c>
      <c r="G61" s="627"/>
      <c r="H61" s="627"/>
      <c r="I61" s="627"/>
      <c r="J61" s="627"/>
      <c r="K61" s="627"/>
      <c r="L61" s="628"/>
      <c r="M61" s="627" t="s">
        <v>48</v>
      </c>
      <c r="N61" s="627"/>
      <c r="O61" s="627"/>
      <c r="P61" s="627"/>
      <c r="Q61" s="627"/>
      <c r="R61" s="627"/>
      <c r="S61" s="628"/>
      <c r="U61" s="614" t="s">
        <v>106</v>
      </c>
      <c r="V61" s="615"/>
      <c r="W61" s="612" t="s">
        <v>107</v>
      </c>
      <c r="X61" s="613"/>
      <c r="Y61" s="614" t="s">
        <v>108</v>
      </c>
      <c r="Z61" s="615"/>
    </row>
    <row r="62" spans="1:26" ht="24.6" thickBot="1">
      <c r="A62" s="223" t="s">
        <v>70</v>
      </c>
      <c r="B62" s="224" t="s">
        <v>10</v>
      </c>
      <c r="C62" s="226" t="s">
        <v>84</v>
      </c>
      <c r="D62" s="520" t="s">
        <v>74</v>
      </c>
      <c r="E62" s="226" t="s">
        <v>73</v>
      </c>
      <c r="F62" s="304" t="s">
        <v>96</v>
      </c>
      <c r="G62" s="291" t="s">
        <v>97</v>
      </c>
      <c r="H62" s="291" t="s">
        <v>98</v>
      </c>
      <c r="I62" s="291" t="s">
        <v>98</v>
      </c>
      <c r="J62" s="291" t="s">
        <v>99</v>
      </c>
      <c r="K62" s="291" t="s">
        <v>100</v>
      </c>
      <c r="L62" s="292" t="s">
        <v>72</v>
      </c>
      <c r="M62" s="304" t="s">
        <v>96</v>
      </c>
      <c r="N62" s="291" t="s">
        <v>97</v>
      </c>
      <c r="O62" s="291" t="s">
        <v>98</v>
      </c>
      <c r="P62" s="291" t="s">
        <v>98</v>
      </c>
      <c r="Q62" s="291" t="s">
        <v>99</v>
      </c>
      <c r="R62" s="291" t="s">
        <v>100</v>
      </c>
      <c r="S62" s="292" t="s">
        <v>72</v>
      </c>
      <c r="T62" s="540" t="s">
        <v>72</v>
      </c>
      <c r="U62" s="314" t="s">
        <v>104</v>
      </c>
      <c r="V62" s="315" t="s">
        <v>105</v>
      </c>
      <c r="W62" s="318" t="s">
        <v>47</v>
      </c>
      <c r="X62" s="455" t="s">
        <v>48</v>
      </c>
      <c r="Y62" s="314" t="s">
        <v>47</v>
      </c>
      <c r="Z62" s="315" t="s">
        <v>48</v>
      </c>
    </row>
    <row r="63" spans="1:26" ht="12.9" customHeight="1">
      <c r="A63" s="354">
        <f>50*B63</f>
        <v>50</v>
      </c>
      <c r="B63" s="227">
        <v>1</v>
      </c>
      <c r="C63" s="171">
        <f>FORMAT_HAR_V!C5</f>
        <v>20</v>
      </c>
      <c r="D63" s="517" t="e">
        <f>FORMAT_HAR_V!BY5</f>
        <v>#DIV/0!</v>
      </c>
      <c r="E63" s="380" t="e">
        <f>FORMAT_HAR_V!CB5</f>
        <v>#DIV/0!</v>
      </c>
      <c r="F63" s="293" t="e">
        <f>0.01*FORMAT_HAR_V!AL5*C63*1000</f>
        <v>#DIV/0!</v>
      </c>
      <c r="G63" s="294" t="e">
        <f>F63/10^0.5</f>
        <v>#DIV/0!</v>
      </c>
      <c r="H63" s="372">
        <f>1000*(0.000042*C63+0.0008)</f>
        <v>1.64</v>
      </c>
      <c r="I63" s="296">
        <f>1000*C63*$H$114*0.01</f>
        <v>59.306523318238554</v>
      </c>
      <c r="J63" s="296"/>
      <c r="K63" s="295">
        <f>1000*0.001/2</f>
        <v>0.5</v>
      </c>
      <c r="L63" s="297" t="e">
        <f>2*(G63^2+I63^2/4+J63^2/3+K63^2/3)^0.5</f>
        <v>#DIV/0!</v>
      </c>
      <c r="M63" s="293" t="e">
        <f>0.01*FORMAT_HAR_V!BV5*C63*1000</f>
        <v>#DIV/0!</v>
      </c>
      <c r="N63" s="294" t="e">
        <f>M63/10^0.5</f>
        <v>#DIV/0!</v>
      </c>
      <c r="O63" s="295">
        <f>1000*(0.000042*C63+0.0008)</f>
        <v>1.64</v>
      </c>
      <c r="P63" s="296">
        <f>1000*C63*$O$114*0.01</f>
        <v>59.306523318238554</v>
      </c>
      <c r="Q63" s="296"/>
      <c r="R63" s="295">
        <f>1000*0.001/2</f>
        <v>0.5</v>
      </c>
      <c r="S63" s="297" t="e">
        <f>2*(N63^2+P63^2/4+Q63^2/3+R63^2/3)^0.5</f>
        <v>#DIV/0!</v>
      </c>
      <c r="T63" s="535" t="e">
        <f>IF(S63&gt;L63,S63,L63)</f>
        <v>#DIV/0!</v>
      </c>
      <c r="U63" s="312">
        <f>0.005*C63*1000</f>
        <v>100</v>
      </c>
      <c r="V63" s="458">
        <f>0.05*C63*1000</f>
        <v>1000</v>
      </c>
      <c r="W63" s="319" t="e">
        <f>IF(ABS(D63)&lt;U63,TRUE,FALSE)</f>
        <v>#DIV/0!</v>
      </c>
      <c r="X63" s="467" t="e">
        <f>IF(ABS(E63)&lt;U63,TRUE,FALSE)</f>
        <v>#DIV/0!</v>
      </c>
      <c r="Y63" s="463" t="e">
        <f>IF(ABS(D63)&lt;V63,TRUE,FALSE)</f>
        <v>#DIV/0!</v>
      </c>
      <c r="Z63" s="316" t="e">
        <f>IF(ABS(E63)&lt;V63,TRUE,FALSE)</f>
        <v>#DIV/0!</v>
      </c>
    </row>
    <row r="64" spans="1:26" ht="12.9" customHeight="1">
      <c r="A64" s="116">
        <f t="shared" ref="A64:A112" si="33">50*B64</f>
        <v>100</v>
      </c>
      <c r="B64" s="50">
        <v>2</v>
      </c>
      <c r="C64" s="48">
        <f>FORMAT_HAR_V!C6</f>
        <v>9.3919999999999995</v>
      </c>
      <c r="D64" s="517" t="e">
        <f>FORMAT_HAR_V!BY6</f>
        <v>#DIV/0!</v>
      </c>
      <c r="E64" s="380" t="e">
        <f>FORMAT_HAR_V!CB6</f>
        <v>#DIV/0!</v>
      </c>
      <c r="F64" s="286" t="e">
        <f>0.01*FORMAT_HAR_V!AL6*C64*1000</f>
        <v>#DIV/0!</v>
      </c>
      <c r="G64" s="231" t="e">
        <f t="shared" ref="G64:G112" si="34">F64/10^0.5</f>
        <v>#DIV/0!</v>
      </c>
      <c r="H64" s="199">
        <f>1000*(0.00006*C64+0.0022)</f>
        <v>2.7635200000000002</v>
      </c>
      <c r="I64" s="276">
        <f t="shared" ref="I64:I102" si="35">1000*C64*$H$114*0.01</f>
        <v>27.85034335024482</v>
      </c>
      <c r="J64" s="276"/>
      <c r="K64" s="199">
        <f t="shared" ref="K64:K67" si="36">1000*0.001/2</f>
        <v>0.5</v>
      </c>
      <c r="L64" s="287" t="e">
        <f t="shared" ref="L64:L102" si="37">2*(G64^2+I64^2/4+J64^2/3+K64^2/3)^0.5</f>
        <v>#DIV/0!</v>
      </c>
      <c r="M64" s="286" t="e">
        <f>0.01*FORMAT_HAR_V!BV6*C64*1000</f>
        <v>#DIV/0!</v>
      </c>
      <c r="N64" s="231" t="e">
        <f t="shared" ref="N64:N112" si="38">M64/10^0.5</f>
        <v>#DIV/0!</v>
      </c>
      <c r="O64" s="199">
        <f>1000*(0.00006*C64+0.0022)</f>
        <v>2.7635200000000002</v>
      </c>
      <c r="P64" s="276">
        <f t="shared" ref="P64:P102" si="39">1000*C64*$O$114*0.01</f>
        <v>27.85034335024482</v>
      </c>
      <c r="Q64" s="276"/>
      <c r="R64" s="199">
        <f t="shared" ref="R64:R67" si="40">1000*0.001/2</f>
        <v>0.5</v>
      </c>
      <c r="S64" s="287" t="e">
        <f t="shared" ref="S64:S102" si="41">2*(N64^2+P64^2/4+Q64^2/3+R64^2/3)^0.5</f>
        <v>#DIV/0!</v>
      </c>
      <c r="T64" s="541" t="e">
        <f t="shared" ref="T64:T112" si="42">IF(S64&gt;L64,S64,L64)</f>
        <v>#DIV/0!</v>
      </c>
      <c r="U64" s="312">
        <f t="shared" ref="U64:U112" si="43">0.005*C64*1000</f>
        <v>46.96</v>
      </c>
      <c r="V64" s="458">
        <f t="shared" ref="V64:V95" si="44">0.05*C64*1000</f>
        <v>469.6</v>
      </c>
      <c r="W64" s="319" t="e">
        <f t="shared" ref="W64:W112" si="45">IF(ABS(D64)&lt;U64,TRUE,FALSE)</f>
        <v>#DIV/0!</v>
      </c>
      <c r="X64" s="467" t="e">
        <f t="shared" ref="X64:X112" si="46">IF(ABS(E64)&lt;U64,TRUE,FALSE)</f>
        <v>#DIV/0!</v>
      </c>
      <c r="Y64" s="463" t="e">
        <f t="shared" ref="Y64:Y112" si="47">IF(ABS(D64)&lt;V64,TRUE,FALSE)</f>
        <v>#DIV/0!</v>
      </c>
      <c r="Z64" s="316" t="e">
        <f t="shared" ref="Z64:Z112" si="48">IF(ABS(E64)&lt;V64,TRUE,FALSE)</f>
        <v>#DIV/0!</v>
      </c>
    </row>
    <row r="65" spans="1:26" ht="12.9" customHeight="1">
      <c r="A65" s="116">
        <f t="shared" si="33"/>
        <v>150</v>
      </c>
      <c r="B65" s="50">
        <v>3</v>
      </c>
      <c r="C65" s="48">
        <f>FORMAT_HAR_V!C7</f>
        <v>20</v>
      </c>
      <c r="D65" s="517" t="e">
        <f>FORMAT_HAR_V!BY7</f>
        <v>#DIV/0!</v>
      </c>
      <c r="E65" s="380" t="e">
        <f>FORMAT_HAR_V!CB7</f>
        <v>#DIV/0!</v>
      </c>
      <c r="F65" s="286" t="e">
        <f>0.01*FORMAT_HAR_V!AL7*C65*1000</f>
        <v>#DIV/0!</v>
      </c>
      <c r="G65" s="231" t="e">
        <f t="shared" si="34"/>
        <v>#DIV/0!</v>
      </c>
      <c r="H65" s="199">
        <f t="shared" ref="H65:H79" si="49">1000*(0.00006*C65+0.0022)</f>
        <v>3.4000000000000004</v>
      </c>
      <c r="I65" s="276">
        <f t="shared" si="35"/>
        <v>59.306523318238554</v>
      </c>
      <c r="J65" s="276"/>
      <c r="K65" s="199">
        <f t="shared" si="36"/>
        <v>0.5</v>
      </c>
      <c r="L65" s="287" t="e">
        <f t="shared" si="37"/>
        <v>#DIV/0!</v>
      </c>
      <c r="M65" s="286" t="e">
        <f>0.01*FORMAT_HAR_V!BV7*C65*1000</f>
        <v>#DIV/0!</v>
      </c>
      <c r="N65" s="231" t="e">
        <f t="shared" si="38"/>
        <v>#DIV/0!</v>
      </c>
      <c r="O65" s="199">
        <f t="shared" ref="O65:O79" si="50">1000*(0.00006*C65+0.0022)</f>
        <v>3.4000000000000004</v>
      </c>
      <c r="P65" s="276">
        <f t="shared" si="39"/>
        <v>59.306523318238554</v>
      </c>
      <c r="Q65" s="276"/>
      <c r="R65" s="199">
        <f t="shared" si="40"/>
        <v>0.5</v>
      </c>
      <c r="S65" s="287" t="e">
        <f t="shared" si="41"/>
        <v>#DIV/0!</v>
      </c>
      <c r="T65" s="541" t="e">
        <f t="shared" si="42"/>
        <v>#DIV/0!</v>
      </c>
      <c r="U65" s="312">
        <f t="shared" si="43"/>
        <v>100</v>
      </c>
      <c r="V65" s="458">
        <f t="shared" si="44"/>
        <v>1000</v>
      </c>
      <c r="W65" s="319" t="e">
        <f t="shared" si="45"/>
        <v>#DIV/0!</v>
      </c>
      <c r="X65" s="467" t="e">
        <f t="shared" si="46"/>
        <v>#DIV/0!</v>
      </c>
      <c r="Y65" s="463" t="e">
        <f t="shared" si="47"/>
        <v>#DIV/0!</v>
      </c>
      <c r="Z65" s="316" t="e">
        <f t="shared" si="48"/>
        <v>#DIV/0!</v>
      </c>
    </row>
    <row r="66" spans="1:26" ht="12.9" customHeight="1">
      <c r="A66" s="116">
        <f t="shared" si="33"/>
        <v>200</v>
      </c>
      <c r="B66" s="50">
        <v>4</v>
      </c>
      <c r="C66" s="48">
        <f>FORMAT_HAR_V!C8</f>
        <v>3.74</v>
      </c>
      <c r="D66" s="517" t="e">
        <f>FORMAT_HAR_V!BY8</f>
        <v>#DIV/0!</v>
      </c>
      <c r="E66" s="380" t="e">
        <f>FORMAT_HAR_V!CB8</f>
        <v>#DIV/0!</v>
      </c>
      <c r="F66" s="286" t="e">
        <f>0.01*FORMAT_HAR_V!AL8*C66*1000</f>
        <v>#DIV/0!</v>
      </c>
      <c r="G66" s="231" t="e">
        <f t="shared" si="34"/>
        <v>#DIV/0!</v>
      </c>
      <c r="H66" s="199">
        <f t="shared" si="49"/>
        <v>2.4244000000000003</v>
      </c>
      <c r="I66" s="276">
        <f t="shared" si="35"/>
        <v>11.090319860510608</v>
      </c>
      <c r="J66" s="276"/>
      <c r="K66" s="199">
        <f>1000*0.0001/2</f>
        <v>0.05</v>
      </c>
      <c r="L66" s="287" t="e">
        <f t="shared" si="37"/>
        <v>#DIV/0!</v>
      </c>
      <c r="M66" s="286" t="e">
        <f>0.01*FORMAT_HAR_V!BV8*C66*1000</f>
        <v>#DIV/0!</v>
      </c>
      <c r="N66" s="231" t="e">
        <f t="shared" si="38"/>
        <v>#DIV/0!</v>
      </c>
      <c r="O66" s="199">
        <f t="shared" si="50"/>
        <v>2.4244000000000003</v>
      </c>
      <c r="P66" s="276">
        <f t="shared" si="39"/>
        <v>11.090319860510608</v>
      </c>
      <c r="Q66" s="276"/>
      <c r="R66" s="199">
        <f>1000*0.0001/2</f>
        <v>0.05</v>
      </c>
      <c r="S66" s="287" t="e">
        <f t="shared" si="41"/>
        <v>#DIV/0!</v>
      </c>
      <c r="T66" s="541" t="e">
        <f t="shared" si="42"/>
        <v>#DIV/0!</v>
      </c>
      <c r="U66" s="312">
        <f t="shared" si="43"/>
        <v>18.700000000000003</v>
      </c>
      <c r="V66" s="458">
        <f t="shared" si="44"/>
        <v>187.00000000000003</v>
      </c>
      <c r="W66" s="319" t="e">
        <f t="shared" si="45"/>
        <v>#DIV/0!</v>
      </c>
      <c r="X66" s="467" t="e">
        <f t="shared" si="46"/>
        <v>#DIV/0!</v>
      </c>
      <c r="Y66" s="463" t="e">
        <f t="shared" si="47"/>
        <v>#DIV/0!</v>
      </c>
      <c r="Z66" s="316" t="e">
        <f t="shared" si="48"/>
        <v>#DIV/0!</v>
      </c>
    </row>
    <row r="67" spans="1:26" ht="12.9" customHeight="1">
      <c r="A67" s="116">
        <f t="shared" si="33"/>
        <v>250</v>
      </c>
      <c r="B67" s="50">
        <v>5</v>
      </c>
      <c r="C67" s="48">
        <f>FORMAT_HAR_V!C9</f>
        <v>9.9139999999999997</v>
      </c>
      <c r="D67" s="517" t="e">
        <f>FORMAT_HAR_V!BY9</f>
        <v>#DIV/0!</v>
      </c>
      <c r="E67" s="380" t="e">
        <f>FORMAT_HAR_V!CB9</f>
        <v>#DIV/0!</v>
      </c>
      <c r="F67" s="286" t="e">
        <f>0.01*FORMAT_HAR_V!AL9*C67*1000</f>
        <v>#DIV/0!</v>
      </c>
      <c r="G67" s="231" t="e">
        <f t="shared" si="34"/>
        <v>#DIV/0!</v>
      </c>
      <c r="H67" s="199">
        <f t="shared" si="49"/>
        <v>2.7948400000000002</v>
      </c>
      <c r="I67" s="276">
        <f t="shared" si="35"/>
        <v>29.398243608850848</v>
      </c>
      <c r="J67" s="276"/>
      <c r="K67" s="199">
        <f t="shared" si="36"/>
        <v>0.5</v>
      </c>
      <c r="L67" s="287" t="e">
        <f t="shared" si="37"/>
        <v>#DIV/0!</v>
      </c>
      <c r="M67" s="286" t="e">
        <f>0.01*FORMAT_HAR_V!BV9*C67*1000</f>
        <v>#DIV/0!</v>
      </c>
      <c r="N67" s="231" t="e">
        <f t="shared" si="38"/>
        <v>#DIV/0!</v>
      </c>
      <c r="O67" s="199">
        <f t="shared" si="50"/>
        <v>2.7948400000000002</v>
      </c>
      <c r="P67" s="276">
        <f t="shared" si="39"/>
        <v>29.398243608850848</v>
      </c>
      <c r="Q67" s="276"/>
      <c r="R67" s="199">
        <f t="shared" si="40"/>
        <v>0.5</v>
      </c>
      <c r="S67" s="287" t="e">
        <f t="shared" si="41"/>
        <v>#DIV/0!</v>
      </c>
      <c r="T67" s="541" t="e">
        <f t="shared" si="42"/>
        <v>#DIV/0!</v>
      </c>
      <c r="U67" s="312">
        <f t="shared" si="43"/>
        <v>49.57</v>
      </c>
      <c r="V67" s="458">
        <f t="shared" si="44"/>
        <v>495.70000000000005</v>
      </c>
      <c r="W67" s="319" t="e">
        <f t="shared" si="45"/>
        <v>#DIV/0!</v>
      </c>
      <c r="X67" s="467" t="e">
        <f t="shared" si="46"/>
        <v>#DIV/0!</v>
      </c>
      <c r="Y67" s="463" t="e">
        <f t="shared" si="47"/>
        <v>#DIV/0!</v>
      </c>
      <c r="Z67" s="316" t="e">
        <f t="shared" si="48"/>
        <v>#DIV/0!</v>
      </c>
    </row>
    <row r="68" spans="1:26" ht="12.9" customHeight="1">
      <c r="A68" s="116">
        <f t="shared" si="33"/>
        <v>300</v>
      </c>
      <c r="B68" s="50">
        <v>6</v>
      </c>
      <c r="C68" s="48">
        <f>FORMAT_HAR_V!C10</f>
        <v>2.6080000000000001</v>
      </c>
      <c r="D68" s="518" t="e">
        <f>FORMAT_HAR_V!BY10</f>
        <v>#DIV/0!</v>
      </c>
      <c r="E68" s="381" t="e">
        <f>FORMAT_HAR_V!CB10</f>
        <v>#DIV/0!</v>
      </c>
      <c r="F68" s="286" t="e">
        <f>0.01*FORMAT_HAR_V!AL10*C68*1000</f>
        <v>#DIV/0!</v>
      </c>
      <c r="G68" s="231" t="e">
        <f t="shared" si="34"/>
        <v>#DIV/0!</v>
      </c>
      <c r="H68" s="199">
        <f t="shared" si="49"/>
        <v>2.3564800000000004</v>
      </c>
      <c r="I68" s="276">
        <f t="shared" si="35"/>
        <v>7.7335706406983071</v>
      </c>
      <c r="J68" s="276"/>
      <c r="K68" s="199">
        <f>1000*0.0001/2</f>
        <v>0.05</v>
      </c>
      <c r="L68" s="288" t="e">
        <f t="shared" si="37"/>
        <v>#DIV/0!</v>
      </c>
      <c r="M68" s="286" t="e">
        <f>0.01*FORMAT_HAR_V!BV10*C68*1000</f>
        <v>#DIV/0!</v>
      </c>
      <c r="N68" s="231" t="e">
        <f t="shared" si="38"/>
        <v>#DIV/0!</v>
      </c>
      <c r="O68" s="199">
        <f t="shared" si="50"/>
        <v>2.3564800000000004</v>
      </c>
      <c r="P68" s="276">
        <f t="shared" si="39"/>
        <v>7.7335706406983071</v>
      </c>
      <c r="Q68" s="276"/>
      <c r="R68" s="199">
        <f>1000*0.0001/2</f>
        <v>0.05</v>
      </c>
      <c r="S68" s="288" t="e">
        <f t="shared" si="41"/>
        <v>#DIV/0!</v>
      </c>
      <c r="T68" s="541" t="e">
        <f t="shared" si="42"/>
        <v>#DIV/0!</v>
      </c>
      <c r="U68" s="312">
        <f t="shared" si="43"/>
        <v>13.040000000000001</v>
      </c>
      <c r="V68" s="458">
        <f t="shared" si="44"/>
        <v>130.4</v>
      </c>
      <c r="W68" s="319" t="e">
        <f t="shared" si="45"/>
        <v>#DIV/0!</v>
      </c>
      <c r="X68" s="467" t="e">
        <f t="shared" si="46"/>
        <v>#DIV/0!</v>
      </c>
      <c r="Y68" s="463" t="e">
        <f t="shared" si="47"/>
        <v>#DIV/0!</v>
      </c>
      <c r="Z68" s="316" t="e">
        <f t="shared" si="48"/>
        <v>#DIV/0!</v>
      </c>
    </row>
    <row r="69" spans="1:26" ht="12.9" customHeight="1">
      <c r="A69" s="116">
        <f t="shared" si="33"/>
        <v>350</v>
      </c>
      <c r="B69" s="50">
        <v>7</v>
      </c>
      <c r="C69" s="48">
        <f>FORMAT_HAR_V!C11</f>
        <v>6.6959999999999997</v>
      </c>
      <c r="D69" s="517" t="e">
        <f>FORMAT_HAR_V!BY11</f>
        <v>#DIV/0!</v>
      </c>
      <c r="E69" s="380" t="e">
        <f>FORMAT_HAR_V!CB11</f>
        <v>#DIV/0!</v>
      </c>
      <c r="F69" s="286" t="e">
        <f>0.01*FORMAT_HAR_V!AL11*C69*1000</f>
        <v>#DIV/0!</v>
      </c>
      <c r="G69" s="231" t="e">
        <f t="shared" si="34"/>
        <v>#DIV/0!</v>
      </c>
      <c r="H69" s="199">
        <f t="shared" si="49"/>
        <v>2.6017600000000001</v>
      </c>
      <c r="I69" s="276">
        <f t="shared" si="35"/>
        <v>19.855824006946268</v>
      </c>
      <c r="J69" s="276"/>
      <c r="K69" s="199">
        <f>1000*0.0001/2</f>
        <v>0.05</v>
      </c>
      <c r="L69" s="287" t="e">
        <f t="shared" si="37"/>
        <v>#DIV/0!</v>
      </c>
      <c r="M69" s="286" t="e">
        <f>0.01*FORMAT_HAR_V!BV11*C69*1000</f>
        <v>#DIV/0!</v>
      </c>
      <c r="N69" s="231" t="e">
        <f t="shared" si="38"/>
        <v>#DIV/0!</v>
      </c>
      <c r="O69" s="199">
        <f t="shared" si="50"/>
        <v>2.6017600000000001</v>
      </c>
      <c r="P69" s="276">
        <f t="shared" si="39"/>
        <v>19.855824006946268</v>
      </c>
      <c r="Q69" s="276"/>
      <c r="R69" s="199">
        <f>1000*0.0001/2</f>
        <v>0.05</v>
      </c>
      <c r="S69" s="287" t="e">
        <f t="shared" si="41"/>
        <v>#DIV/0!</v>
      </c>
      <c r="T69" s="541" t="e">
        <f t="shared" si="42"/>
        <v>#DIV/0!</v>
      </c>
      <c r="U69" s="312">
        <f t="shared" si="43"/>
        <v>33.480000000000004</v>
      </c>
      <c r="V69" s="458">
        <f t="shared" si="44"/>
        <v>334.8</v>
      </c>
      <c r="W69" s="319" t="e">
        <f t="shared" si="45"/>
        <v>#DIV/0!</v>
      </c>
      <c r="X69" s="467" t="e">
        <f t="shared" si="46"/>
        <v>#DIV/0!</v>
      </c>
      <c r="Y69" s="463" t="e">
        <f t="shared" si="47"/>
        <v>#DIV/0!</v>
      </c>
      <c r="Z69" s="316" t="e">
        <f t="shared" si="48"/>
        <v>#DIV/0!</v>
      </c>
    </row>
    <row r="70" spans="1:26" ht="12.9" customHeight="1">
      <c r="A70" s="116">
        <f t="shared" si="33"/>
        <v>400</v>
      </c>
      <c r="B70" s="50">
        <v>8</v>
      </c>
      <c r="C70" s="48">
        <f>FORMAT_HAR_V!C12</f>
        <v>2</v>
      </c>
      <c r="D70" s="518" t="e">
        <f>FORMAT_HAR_V!BY12</f>
        <v>#DIV/0!</v>
      </c>
      <c r="E70" s="381" t="e">
        <f>FORMAT_HAR_V!CB12</f>
        <v>#DIV/0!</v>
      </c>
      <c r="F70" s="286" t="e">
        <f>0.01*FORMAT_HAR_V!AL12*C70*1000</f>
        <v>#DIV/0!</v>
      </c>
      <c r="G70" s="231" t="e">
        <f t="shared" si="34"/>
        <v>#DIV/0!</v>
      </c>
      <c r="H70" s="199">
        <f t="shared" si="49"/>
        <v>2.3199999999999998</v>
      </c>
      <c r="I70" s="276">
        <f t="shared" si="35"/>
        <v>5.9306523318238549</v>
      </c>
      <c r="J70" s="276"/>
      <c r="K70" s="199">
        <f t="shared" ref="K70:K83" si="51">1000*0.0001/2</f>
        <v>0.05</v>
      </c>
      <c r="L70" s="288" t="e">
        <f t="shared" si="37"/>
        <v>#DIV/0!</v>
      </c>
      <c r="M70" s="286" t="e">
        <f>0.01*FORMAT_HAR_V!BV12*C70*1000</f>
        <v>#DIV/0!</v>
      </c>
      <c r="N70" s="231" t="e">
        <f t="shared" si="38"/>
        <v>#DIV/0!</v>
      </c>
      <c r="O70" s="199">
        <f t="shared" si="50"/>
        <v>2.3199999999999998</v>
      </c>
      <c r="P70" s="276">
        <f t="shared" si="39"/>
        <v>5.9306523318238549</v>
      </c>
      <c r="Q70" s="276"/>
      <c r="R70" s="199">
        <f t="shared" ref="R70:R83" si="52">1000*0.0001/2</f>
        <v>0.05</v>
      </c>
      <c r="S70" s="288" t="e">
        <f t="shared" si="41"/>
        <v>#DIV/0!</v>
      </c>
      <c r="T70" s="541" t="e">
        <f t="shared" si="42"/>
        <v>#DIV/0!</v>
      </c>
      <c r="U70" s="312">
        <f t="shared" si="43"/>
        <v>10</v>
      </c>
      <c r="V70" s="458">
        <f t="shared" si="44"/>
        <v>100</v>
      </c>
      <c r="W70" s="319" t="e">
        <f t="shared" si="45"/>
        <v>#DIV/0!</v>
      </c>
      <c r="X70" s="467" t="e">
        <f t="shared" si="46"/>
        <v>#DIV/0!</v>
      </c>
      <c r="Y70" s="463" t="e">
        <f t="shared" si="47"/>
        <v>#DIV/0!</v>
      </c>
      <c r="Z70" s="316" t="e">
        <f t="shared" si="48"/>
        <v>#DIV/0!</v>
      </c>
    </row>
    <row r="71" spans="1:26" ht="12.9" customHeight="1">
      <c r="A71" s="116">
        <f t="shared" si="33"/>
        <v>450</v>
      </c>
      <c r="B71" s="50">
        <v>9</v>
      </c>
      <c r="C71" s="48">
        <f>FORMAT_HAR_V!C13</f>
        <v>3.4780000000000002</v>
      </c>
      <c r="D71" s="517" t="e">
        <f>FORMAT_HAR_V!BY13</f>
        <v>#DIV/0!</v>
      </c>
      <c r="E71" s="380" t="e">
        <f>FORMAT_HAR_V!CB13</f>
        <v>#DIV/0!</v>
      </c>
      <c r="F71" s="286" t="e">
        <f>0.01*FORMAT_HAR_V!AL13*C71*1000</f>
        <v>#DIV/0!</v>
      </c>
      <c r="G71" s="231" t="e">
        <f t="shared" si="34"/>
        <v>#DIV/0!</v>
      </c>
      <c r="H71" s="199">
        <f t="shared" si="49"/>
        <v>2.4086800000000004</v>
      </c>
      <c r="I71" s="276">
        <f t="shared" si="35"/>
        <v>10.313404405041684</v>
      </c>
      <c r="J71" s="276"/>
      <c r="K71" s="199">
        <f t="shared" si="51"/>
        <v>0.05</v>
      </c>
      <c r="L71" s="287" t="e">
        <f t="shared" si="37"/>
        <v>#DIV/0!</v>
      </c>
      <c r="M71" s="286" t="e">
        <f>0.01*FORMAT_HAR_V!BV13*C71*1000</f>
        <v>#DIV/0!</v>
      </c>
      <c r="N71" s="231" t="e">
        <f t="shared" si="38"/>
        <v>#DIV/0!</v>
      </c>
      <c r="O71" s="199">
        <f t="shared" si="50"/>
        <v>2.4086800000000004</v>
      </c>
      <c r="P71" s="276">
        <f t="shared" si="39"/>
        <v>10.313404405041684</v>
      </c>
      <c r="Q71" s="276"/>
      <c r="R71" s="199">
        <f t="shared" si="52"/>
        <v>0.05</v>
      </c>
      <c r="S71" s="287" t="e">
        <f t="shared" si="41"/>
        <v>#DIV/0!</v>
      </c>
      <c r="T71" s="541" t="e">
        <f t="shared" si="42"/>
        <v>#DIV/0!</v>
      </c>
      <c r="U71" s="312">
        <f t="shared" si="43"/>
        <v>17.390000000000004</v>
      </c>
      <c r="V71" s="458">
        <f t="shared" si="44"/>
        <v>173.90000000000003</v>
      </c>
      <c r="W71" s="319" t="e">
        <f t="shared" si="45"/>
        <v>#DIV/0!</v>
      </c>
      <c r="X71" s="467" t="e">
        <f t="shared" si="46"/>
        <v>#DIV/0!</v>
      </c>
      <c r="Y71" s="463" t="e">
        <f t="shared" si="47"/>
        <v>#DIV/0!</v>
      </c>
      <c r="Z71" s="316" t="e">
        <f t="shared" si="48"/>
        <v>#DIV/0!</v>
      </c>
    </row>
    <row r="72" spans="1:26" ht="12.9" customHeight="1">
      <c r="A72" s="116">
        <f t="shared" si="33"/>
        <v>500</v>
      </c>
      <c r="B72" s="50">
        <v>10</v>
      </c>
      <c r="C72" s="48">
        <f>FORMAT_HAR_V!C14</f>
        <v>1.6</v>
      </c>
      <c r="D72" s="518" t="e">
        <f>FORMAT_HAR_V!BY14</f>
        <v>#DIV/0!</v>
      </c>
      <c r="E72" s="381" t="e">
        <f>FORMAT_HAR_V!CB14</f>
        <v>#DIV/0!</v>
      </c>
      <c r="F72" s="286" t="e">
        <f>0.01*FORMAT_HAR_V!AL14*C72*1000</f>
        <v>#DIV/0!</v>
      </c>
      <c r="G72" s="231" t="e">
        <f t="shared" si="34"/>
        <v>#DIV/0!</v>
      </c>
      <c r="H72" s="199">
        <f t="shared" si="49"/>
        <v>2.2960000000000003</v>
      </c>
      <c r="I72" s="276">
        <f t="shared" si="35"/>
        <v>4.7445218654590837</v>
      </c>
      <c r="J72" s="276"/>
      <c r="K72" s="199">
        <f t="shared" si="51"/>
        <v>0.05</v>
      </c>
      <c r="L72" s="288" t="e">
        <f t="shared" si="37"/>
        <v>#DIV/0!</v>
      </c>
      <c r="M72" s="286" t="e">
        <f>0.01*FORMAT_HAR_V!BV14*C72*1000</f>
        <v>#DIV/0!</v>
      </c>
      <c r="N72" s="231" t="e">
        <f t="shared" si="38"/>
        <v>#DIV/0!</v>
      </c>
      <c r="O72" s="199">
        <f t="shared" si="50"/>
        <v>2.2960000000000003</v>
      </c>
      <c r="P72" s="276">
        <f t="shared" si="39"/>
        <v>4.7445218654590837</v>
      </c>
      <c r="Q72" s="276"/>
      <c r="R72" s="199">
        <f t="shared" si="52"/>
        <v>0.05</v>
      </c>
      <c r="S72" s="288" t="e">
        <f t="shared" si="41"/>
        <v>#DIV/0!</v>
      </c>
      <c r="T72" s="541" t="e">
        <f t="shared" si="42"/>
        <v>#DIV/0!</v>
      </c>
      <c r="U72" s="312">
        <f t="shared" si="43"/>
        <v>8</v>
      </c>
      <c r="V72" s="458">
        <f t="shared" si="44"/>
        <v>80.000000000000014</v>
      </c>
      <c r="W72" s="319" t="e">
        <f t="shared" si="45"/>
        <v>#DIV/0!</v>
      </c>
      <c r="X72" s="467" t="e">
        <f t="shared" si="46"/>
        <v>#DIV/0!</v>
      </c>
      <c r="Y72" s="463" t="e">
        <f t="shared" si="47"/>
        <v>#DIV/0!</v>
      </c>
      <c r="Z72" s="316" t="e">
        <f t="shared" si="48"/>
        <v>#DIV/0!</v>
      </c>
    </row>
    <row r="73" spans="1:26" ht="12.9" customHeight="1">
      <c r="A73" s="116">
        <f t="shared" si="33"/>
        <v>550</v>
      </c>
      <c r="B73" s="50">
        <v>11</v>
      </c>
      <c r="C73" s="48">
        <f>FORMAT_HAR_V!C15</f>
        <v>2.87</v>
      </c>
      <c r="D73" s="518" t="e">
        <f>FORMAT_HAR_V!BY15</f>
        <v>#DIV/0!</v>
      </c>
      <c r="E73" s="381" t="e">
        <f>FORMAT_HAR_V!CB15</f>
        <v>#DIV/0!</v>
      </c>
      <c r="F73" s="286" t="e">
        <f>0.01*FORMAT_HAR_V!AL15*C73*1000</f>
        <v>#DIV/0!</v>
      </c>
      <c r="G73" s="231" t="e">
        <f t="shared" si="34"/>
        <v>#DIV/0!</v>
      </c>
      <c r="H73" s="199">
        <f t="shared" si="49"/>
        <v>2.3722000000000003</v>
      </c>
      <c r="I73" s="276">
        <f t="shared" si="35"/>
        <v>8.5104860961672326</v>
      </c>
      <c r="J73" s="276"/>
      <c r="K73" s="199">
        <f t="shared" si="51"/>
        <v>0.05</v>
      </c>
      <c r="L73" s="288" t="e">
        <f t="shared" si="37"/>
        <v>#DIV/0!</v>
      </c>
      <c r="M73" s="286" t="e">
        <f>0.01*FORMAT_HAR_V!BV15*C73*1000</f>
        <v>#DIV/0!</v>
      </c>
      <c r="N73" s="231" t="e">
        <f t="shared" si="38"/>
        <v>#DIV/0!</v>
      </c>
      <c r="O73" s="199">
        <f t="shared" si="50"/>
        <v>2.3722000000000003</v>
      </c>
      <c r="P73" s="276">
        <f t="shared" si="39"/>
        <v>8.5104860961672326</v>
      </c>
      <c r="Q73" s="276"/>
      <c r="R73" s="199">
        <f t="shared" si="52"/>
        <v>0.05</v>
      </c>
      <c r="S73" s="288" t="e">
        <f t="shared" si="41"/>
        <v>#DIV/0!</v>
      </c>
      <c r="T73" s="541" t="e">
        <f t="shared" si="42"/>
        <v>#DIV/0!</v>
      </c>
      <c r="U73" s="312">
        <f t="shared" si="43"/>
        <v>14.350000000000001</v>
      </c>
      <c r="V73" s="458">
        <f t="shared" si="44"/>
        <v>143.50000000000003</v>
      </c>
      <c r="W73" s="319" t="e">
        <f t="shared" si="45"/>
        <v>#DIV/0!</v>
      </c>
      <c r="X73" s="467" t="e">
        <f t="shared" si="46"/>
        <v>#DIV/0!</v>
      </c>
      <c r="Y73" s="463" t="e">
        <f t="shared" si="47"/>
        <v>#DIV/0!</v>
      </c>
      <c r="Z73" s="316" t="e">
        <f t="shared" si="48"/>
        <v>#DIV/0!</v>
      </c>
    </row>
    <row r="74" spans="1:26" ht="12.9" customHeight="1">
      <c r="A74" s="116">
        <f t="shared" si="33"/>
        <v>600</v>
      </c>
      <c r="B74" s="50">
        <v>12</v>
      </c>
      <c r="C74" s="48">
        <f>FORMAT_HAR_V!C16</f>
        <v>1.3340000000000001</v>
      </c>
      <c r="D74" s="518" t="e">
        <f>FORMAT_HAR_V!BY16</f>
        <v>#DIV/0!</v>
      </c>
      <c r="E74" s="381" t="e">
        <f>FORMAT_HAR_V!CB16</f>
        <v>#DIV/0!</v>
      </c>
      <c r="F74" s="286" t="e">
        <f>0.01*FORMAT_HAR_V!AL16*C74*1000</f>
        <v>#DIV/0!</v>
      </c>
      <c r="G74" s="231" t="e">
        <f t="shared" si="34"/>
        <v>#DIV/0!</v>
      </c>
      <c r="H74" s="199">
        <f t="shared" si="49"/>
        <v>2.2800400000000001</v>
      </c>
      <c r="I74" s="276">
        <f t="shared" si="35"/>
        <v>3.9557451053265114</v>
      </c>
      <c r="J74" s="276"/>
      <c r="K74" s="199">
        <f t="shared" si="51"/>
        <v>0.05</v>
      </c>
      <c r="L74" s="288" t="e">
        <f t="shared" si="37"/>
        <v>#DIV/0!</v>
      </c>
      <c r="M74" s="286" t="e">
        <f>0.01*FORMAT_HAR_V!BV16*C74*1000</f>
        <v>#DIV/0!</v>
      </c>
      <c r="N74" s="231" t="e">
        <f t="shared" si="38"/>
        <v>#DIV/0!</v>
      </c>
      <c r="O74" s="199">
        <f t="shared" si="50"/>
        <v>2.2800400000000001</v>
      </c>
      <c r="P74" s="276">
        <f t="shared" si="39"/>
        <v>3.9557451053265114</v>
      </c>
      <c r="Q74" s="276"/>
      <c r="R74" s="199">
        <f t="shared" si="52"/>
        <v>0.05</v>
      </c>
      <c r="S74" s="288" t="e">
        <f t="shared" si="41"/>
        <v>#DIV/0!</v>
      </c>
      <c r="T74" s="541" t="e">
        <f t="shared" si="42"/>
        <v>#DIV/0!</v>
      </c>
      <c r="U74" s="312">
        <f t="shared" si="43"/>
        <v>6.6700000000000008</v>
      </c>
      <c r="V74" s="458">
        <f t="shared" si="44"/>
        <v>66.7</v>
      </c>
      <c r="W74" s="319" t="e">
        <f t="shared" si="45"/>
        <v>#DIV/0!</v>
      </c>
      <c r="X74" s="467" t="e">
        <f t="shared" si="46"/>
        <v>#DIV/0!</v>
      </c>
      <c r="Y74" s="463" t="e">
        <f t="shared" si="47"/>
        <v>#DIV/0!</v>
      </c>
      <c r="Z74" s="316" t="e">
        <f t="shared" si="48"/>
        <v>#DIV/0!</v>
      </c>
    </row>
    <row r="75" spans="1:26" ht="12.9" customHeight="1">
      <c r="A75" s="116">
        <f t="shared" si="33"/>
        <v>650</v>
      </c>
      <c r="B75" s="50">
        <v>13</v>
      </c>
      <c r="C75" s="48">
        <f>FORMAT_HAR_V!C17</f>
        <v>1.8260000000000001</v>
      </c>
      <c r="D75" s="518" t="e">
        <f>FORMAT_HAR_V!BY17</f>
        <v>#DIV/0!</v>
      </c>
      <c r="E75" s="381" t="e">
        <f>FORMAT_HAR_V!CB17</f>
        <v>#DIV/0!</v>
      </c>
      <c r="F75" s="286" t="e">
        <f>0.01*FORMAT_HAR_V!AL17*C75*1000</f>
        <v>#DIV/0!</v>
      </c>
      <c r="G75" s="231" t="e">
        <f t="shared" si="34"/>
        <v>#DIV/0!</v>
      </c>
      <c r="H75" s="199">
        <f t="shared" si="49"/>
        <v>2.3095599999999998</v>
      </c>
      <c r="I75" s="276">
        <f t="shared" si="35"/>
        <v>5.4146855789551793</v>
      </c>
      <c r="J75" s="276"/>
      <c r="K75" s="199">
        <f t="shared" si="51"/>
        <v>0.05</v>
      </c>
      <c r="L75" s="288" t="e">
        <f t="shared" si="37"/>
        <v>#DIV/0!</v>
      </c>
      <c r="M75" s="286" t="e">
        <f>0.01*FORMAT_HAR_V!BV17*C75*1000</f>
        <v>#DIV/0!</v>
      </c>
      <c r="N75" s="231" t="e">
        <f t="shared" si="38"/>
        <v>#DIV/0!</v>
      </c>
      <c r="O75" s="199">
        <f t="shared" si="50"/>
        <v>2.3095599999999998</v>
      </c>
      <c r="P75" s="276">
        <f t="shared" si="39"/>
        <v>5.4146855789551793</v>
      </c>
      <c r="Q75" s="276"/>
      <c r="R75" s="199">
        <f t="shared" si="52"/>
        <v>0.05</v>
      </c>
      <c r="S75" s="288" t="e">
        <f t="shared" si="41"/>
        <v>#DIV/0!</v>
      </c>
      <c r="T75" s="541" t="e">
        <f t="shared" si="42"/>
        <v>#DIV/0!</v>
      </c>
      <c r="U75" s="312">
        <f t="shared" si="43"/>
        <v>9.1300000000000008</v>
      </c>
      <c r="V75" s="458">
        <f t="shared" si="44"/>
        <v>91.300000000000011</v>
      </c>
      <c r="W75" s="319" t="e">
        <f t="shared" si="45"/>
        <v>#DIV/0!</v>
      </c>
      <c r="X75" s="467" t="e">
        <f t="shared" si="46"/>
        <v>#DIV/0!</v>
      </c>
      <c r="Y75" s="463" t="e">
        <f t="shared" si="47"/>
        <v>#DIV/0!</v>
      </c>
      <c r="Z75" s="316" t="e">
        <f t="shared" si="48"/>
        <v>#DIV/0!</v>
      </c>
    </row>
    <row r="76" spans="1:26" ht="12.9" customHeight="1">
      <c r="A76" s="116">
        <f t="shared" si="33"/>
        <v>700</v>
      </c>
      <c r="B76" s="50">
        <v>14</v>
      </c>
      <c r="C76" s="48">
        <f>FORMAT_HAR_V!C18</f>
        <v>1.1419999999999999</v>
      </c>
      <c r="D76" s="518" t="e">
        <f>FORMAT_HAR_V!BY18</f>
        <v>#DIV/0!</v>
      </c>
      <c r="E76" s="381" t="e">
        <f>FORMAT_HAR_V!CB18</f>
        <v>#DIV/0!</v>
      </c>
      <c r="F76" s="286" t="e">
        <f>0.01*FORMAT_HAR_V!AL18*C76*1000</f>
        <v>#DIV/0!</v>
      </c>
      <c r="G76" s="231" t="e">
        <f t="shared" si="34"/>
        <v>#DIV/0!</v>
      </c>
      <c r="H76" s="199">
        <f t="shared" si="49"/>
        <v>2.2685200000000001</v>
      </c>
      <c r="I76" s="276">
        <f t="shared" si="35"/>
        <v>3.3864024814714209</v>
      </c>
      <c r="J76" s="276"/>
      <c r="K76" s="199">
        <f t="shared" si="51"/>
        <v>0.05</v>
      </c>
      <c r="L76" s="288" t="e">
        <f t="shared" si="37"/>
        <v>#DIV/0!</v>
      </c>
      <c r="M76" s="286" t="e">
        <f>0.01*FORMAT_HAR_V!BV18*C76*1000</f>
        <v>#DIV/0!</v>
      </c>
      <c r="N76" s="231" t="e">
        <f t="shared" si="38"/>
        <v>#DIV/0!</v>
      </c>
      <c r="O76" s="199">
        <f t="shared" si="50"/>
        <v>2.2685200000000001</v>
      </c>
      <c r="P76" s="276">
        <f t="shared" si="39"/>
        <v>3.3864024814714209</v>
      </c>
      <c r="Q76" s="276"/>
      <c r="R76" s="199">
        <f t="shared" si="52"/>
        <v>0.05</v>
      </c>
      <c r="S76" s="288" t="e">
        <f t="shared" si="41"/>
        <v>#DIV/0!</v>
      </c>
      <c r="T76" s="541" t="e">
        <f t="shared" si="42"/>
        <v>#DIV/0!</v>
      </c>
      <c r="U76" s="312">
        <f t="shared" si="43"/>
        <v>5.71</v>
      </c>
      <c r="V76" s="458">
        <f t="shared" si="44"/>
        <v>57.1</v>
      </c>
      <c r="W76" s="319" t="e">
        <f t="shared" si="45"/>
        <v>#DIV/0!</v>
      </c>
      <c r="X76" s="467" t="e">
        <f t="shared" si="46"/>
        <v>#DIV/0!</v>
      </c>
      <c r="Y76" s="463" t="e">
        <f t="shared" si="47"/>
        <v>#DIV/0!</v>
      </c>
      <c r="Z76" s="316" t="e">
        <f t="shared" si="48"/>
        <v>#DIV/0!</v>
      </c>
    </row>
    <row r="77" spans="1:26" ht="12.9" customHeight="1">
      <c r="A77" s="116">
        <f t="shared" si="33"/>
        <v>750</v>
      </c>
      <c r="B77" s="50">
        <v>15</v>
      </c>
      <c r="C77" s="48">
        <f>FORMAT_HAR_V!C19</f>
        <v>1.304</v>
      </c>
      <c r="D77" s="518" t="e">
        <f>FORMAT_HAR_V!BY19</f>
        <v>#DIV/0!</v>
      </c>
      <c r="E77" s="381" t="e">
        <f>FORMAT_HAR_V!CB19</f>
        <v>#DIV/0!</v>
      </c>
      <c r="F77" s="286" t="e">
        <f>0.01*FORMAT_HAR_V!AL19*C77*1000</f>
        <v>#DIV/0!</v>
      </c>
      <c r="G77" s="231" t="e">
        <f t="shared" si="34"/>
        <v>#DIV/0!</v>
      </c>
      <c r="H77" s="199">
        <f t="shared" si="49"/>
        <v>2.2782399999999998</v>
      </c>
      <c r="I77" s="276">
        <f t="shared" si="35"/>
        <v>3.8667853203491536</v>
      </c>
      <c r="J77" s="276"/>
      <c r="K77" s="199">
        <f t="shared" si="51"/>
        <v>0.05</v>
      </c>
      <c r="L77" s="288" t="e">
        <f t="shared" si="37"/>
        <v>#DIV/0!</v>
      </c>
      <c r="M77" s="286" t="e">
        <f>0.01*FORMAT_HAR_V!BV19*C77*1000</f>
        <v>#DIV/0!</v>
      </c>
      <c r="N77" s="231" t="e">
        <f t="shared" si="38"/>
        <v>#DIV/0!</v>
      </c>
      <c r="O77" s="199">
        <f t="shared" si="50"/>
        <v>2.2782399999999998</v>
      </c>
      <c r="P77" s="276">
        <f t="shared" si="39"/>
        <v>3.8667853203491536</v>
      </c>
      <c r="Q77" s="276"/>
      <c r="R77" s="199">
        <f t="shared" si="52"/>
        <v>0.05</v>
      </c>
      <c r="S77" s="288" t="e">
        <f t="shared" si="41"/>
        <v>#DIV/0!</v>
      </c>
      <c r="T77" s="541" t="e">
        <f t="shared" si="42"/>
        <v>#DIV/0!</v>
      </c>
      <c r="U77" s="312">
        <f t="shared" si="43"/>
        <v>6.5200000000000005</v>
      </c>
      <c r="V77" s="458">
        <f t="shared" si="44"/>
        <v>65.2</v>
      </c>
      <c r="W77" s="319" t="e">
        <f t="shared" si="45"/>
        <v>#DIV/0!</v>
      </c>
      <c r="X77" s="467" t="e">
        <f t="shared" si="46"/>
        <v>#DIV/0!</v>
      </c>
      <c r="Y77" s="463" t="e">
        <f t="shared" si="47"/>
        <v>#DIV/0!</v>
      </c>
      <c r="Z77" s="316" t="e">
        <f t="shared" si="48"/>
        <v>#DIV/0!</v>
      </c>
    </row>
    <row r="78" spans="1:26" ht="12.9" customHeight="1">
      <c r="A78" s="116">
        <f t="shared" si="33"/>
        <v>800</v>
      </c>
      <c r="B78" s="50">
        <v>16</v>
      </c>
      <c r="C78" s="48">
        <f>FORMAT_HAR_V!C20</f>
        <v>1</v>
      </c>
      <c r="D78" s="518" t="e">
        <f>FORMAT_HAR_V!BY20</f>
        <v>#DIV/0!</v>
      </c>
      <c r="E78" s="381" t="e">
        <f>FORMAT_HAR_V!CB20</f>
        <v>#DIV/0!</v>
      </c>
      <c r="F78" s="286" t="e">
        <f>0.01*FORMAT_HAR_V!AL20*C78*1000</f>
        <v>#DIV/0!</v>
      </c>
      <c r="G78" s="231" t="e">
        <f t="shared" si="34"/>
        <v>#DIV/0!</v>
      </c>
      <c r="H78" s="199">
        <f t="shared" si="49"/>
        <v>2.2600000000000002</v>
      </c>
      <c r="I78" s="276">
        <f t="shared" si="35"/>
        <v>2.9653261659119274</v>
      </c>
      <c r="J78" s="276"/>
      <c r="K78" s="199">
        <f t="shared" si="51"/>
        <v>0.05</v>
      </c>
      <c r="L78" s="288" t="e">
        <f t="shared" si="37"/>
        <v>#DIV/0!</v>
      </c>
      <c r="M78" s="286" t="e">
        <f>0.01*FORMAT_HAR_V!BV20*C78*1000</f>
        <v>#DIV/0!</v>
      </c>
      <c r="N78" s="231" t="e">
        <f t="shared" si="38"/>
        <v>#DIV/0!</v>
      </c>
      <c r="O78" s="199">
        <f t="shared" si="50"/>
        <v>2.2600000000000002</v>
      </c>
      <c r="P78" s="276">
        <f t="shared" si="39"/>
        <v>2.9653261659119274</v>
      </c>
      <c r="Q78" s="276"/>
      <c r="R78" s="199">
        <f t="shared" si="52"/>
        <v>0.05</v>
      </c>
      <c r="S78" s="288" t="e">
        <f t="shared" si="41"/>
        <v>#DIV/0!</v>
      </c>
      <c r="T78" s="541" t="e">
        <f t="shared" si="42"/>
        <v>#DIV/0!</v>
      </c>
      <c r="U78" s="312">
        <f t="shared" si="43"/>
        <v>5</v>
      </c>
      <c r="V78" s="458">
        <f t="shared" si="44"/>
        <v>50</v>
      </c>
      <c r="W78" s="319" t="e">
        <f t="shared" si="45"/>
        <v>#DIV/0!</v>
      </c>
      <c r="X78" s="467" t="e">
        <f t="shared" si="46"/>
        <v>#DIV/0!</v>
      </c>
      <c r="Y78" s="463" t="e">
        <f t="shared" si="47"/>
        <v>#DIV/0!</v>
      </c>
      <c r="Z78" s="316" t="e">
        <f t="shared" si="48"/>
        <v>#DIV/0!</v>
      </c>
    </row>
    <row r="79" spans="1:26" ht="12.9" customHeight="1">
      <c r="A79" s="116">
        <f t="shared" si="33"/>
        <v>850</v>
      </c>
      <c r="B79" s="50">
        <v>17</v>
      </c>
      <c r="C79" s="48">
        <f>FORMAT_HAR_V!C21</f>
        <v>1.1499999999999999</v>
      </c>
      <c r="D79" s="518" t="e">
        <f>FORMAT_HAR_V!BY21</f>
        <v>#DIV/0!</v>
      </c>
      <c r="E79" s="381" t="e">
        <f>FORMAT_HAR_V!CB21</f>
        <v>#DIV/0!</v>
      </c>
      <c r="F79" s="286" t="e">
        <f>0.01*FORMAT_HAR_V!AL21*C79*1000</f>
        <v>#DIV/0!</v>
      </c>
      <c r="G79" s="231" t="e">
        <f t="shared" si="34"/>
        <v>#DIV/0!</v>
      </c>
      <c r="H79" s="199">
        <f t="shared" si="49"/>
        <v>2.2690000000000001</v>
      </c>
      <c r="I79" s="276">
        <f t="shared" si="35"/>
        <v>3.4101250907987164</v>
      </c>
      <c r="J79" s="276"/>
      <c r="K79" s="199">
        <f t="shared" si="51"/>
        <v>0.05</v>
      </c>
      <c r="L79" s="288" t="e">
        <f t="shared" si="37"/>
        <v>#DIV/0!</v>
      </c>
      <c r="M79" s="286" t="e">
        <f>0.01*FORMAT_HAR_V!BV21*C79*1000</f>
        <v>#DIV/0!</v>
      </c>
      <c r="N79" s="231" t="e">
        <f t="shared" si="38"/>
        <v>#DIV/0!</v>
      </c>
      <c r="O79" s="199">
        <f t="shared" si="50"/>
        <v>2.2690000000000001</v>
      </c>
      <c r="P79" s="276">
        <f t="shared" si="39"/>
        <v>3.4101250907987164</v>
      </c>
      <c r="Q79" s="276"/>
      <c r="R79" s="199">
        <f t="shared" si="52"/>
        <v>0.05</v>
      </c>
      <c r="S79" s="288" t="e">
        <f t="shared" si="41"/>
        <v>#DIV/0!</v>
      </c>
      <c r="T79" s="541" t="e">
        <f t="shared" si="42"/>
        <v>#DIV/0!</v>
      </c>
      <c r="U79" s="312">
        <f t="shared" si="43"/>
        <v>5.75</v>
      </c>
      <c r="V79" s="458">
        <f t="shared" si="44"/>
        <v>57.499999999999993</v>
      </c>
      <c r="W79" s="319" t="e">
        <f t="shared" si="45"/>
        <v>#DIV/0!</v>
      </c>
      <c r="X79" s="467" t="e">
        <f t="shared" si="46"/>
        <v>#DIV/0!</v>
      </c>
      <c r="Y79" s="463" t="e">
        <f t="shared" si="47"/>
        <v>#DIV/0!</v>
      </c>
      <c r="Z79" s="316" t="e">
        <f t="shared" si="48"/>
        <v>#DIV/0!</v>
      </c>
    </row>
    <row r="80" spans="1:26" ht="12.9" customHeight="1">
      <c r="A80" s="116">
        <f t="shared" si="33"/>
        <v>900</v>
      </c>
      <c r="B80" s="50">
        <v>18</v>
      </c>
      <c r="C80" s="48">
        <f>FORMAT_HAR_V!C22</f>
        <v>0.88800000000000001</v>
      </c>
      <c r="D80" s="518" t="e">
        <f>FORMAT_HAR_V!BY22</f>
        <v>#DIV/0!</v>
      </c>
      <c r="E80" s="381" t="e">
        <f>FORMAT_HAR_V!CB22</f>
        <v>#DIV/0!</v>
      </c>
      <c r="F80" s="286" t="e">
        <f>0.01*FORMAT_HAR_V!AL22*C80*1000</f>
        <v>#DIV/0!</v>
      </c>
      <c r="G80" s="231" t="e">
        <f t="shared" si="34"/>
        <v>#DIV/0!</v>
      </c>
      <c r="H80" s="199">
        <f>1000*(0.000451*C80+0.0022)</f>
        <v>2.6004880000000004</v>
      </c>
      <c r="I80" s="276">
        <f t="shared" si="35"/>
        <v>2.6332096353297914</v>
      </c>
      <c r="J80" s="276"/>
      <c r="K80" s="199">
        <f t="shared" si="51"/>
        <v>0.05</v>
      </c>
      <c r="L80" s="288" t="e">
        <f t="shared" si="37"/>
        <v>#DIV/0!</v>
      </c>
      <c r="M80" s="286" t="e">
        <f>0.01*FORMAT_HAR_V!BV22*C80*1000</f>
        <v>#DIV/0!</v>
      </c>
      <c r="N80" s="231" t="e">
        <f t="shared" si="38"/>
        <v>#DIV/0!</v>
      </c>
      <c r="O80" s="199">
        <f>1000*(0.000451*C80+0.0022)</f>
        <v>2.6004880000000004</v>
      </c>
      <c r="P80" s="276">
        <f t="shared" si="39"/>
        <v>2.6332096353297914</v>
      </c>
      <c r="Q80" s="276"/>
      <c r="R80" s="199">
        <f t="shared" si="52"/>
        <v>0.05</v>
      </c>
      <c r="S80" s="288" t="e">
        <f t="shared" si="41"/>
        <v>#DIV/0!</v>
      </c>
      <c r="T80" s="541" t="e">
        <f t="shared" si="42"/>
        <v>#DIV/0!</v>
      </c>
      <c r="U80" s="312">
        <f t="shared" si="43"/>
        <v>4.4400000000000004</v>
      </c>
      <c r="V80" s="458">
        <f t="shared" si="44"/>
        <v>44.4</v>
      </c>
      <c r="W80" s="319" t="e">
        <f t="shared" si="45"/>
        <v>#DIV/0!</v>
      </c>
      <c r="X80" s="467" t="e">
        <f t="shared" si="46"/>
        <v>#DIV/0!</v>
      </c>
      <c r="Y80" s="463" t="e">
        <f t="shared" si="47"/>
        <v>#DIV/0!</v>
      </c>
      <c r="Z80" s="316" t="e">
        <f t="shared" si="48"/>
        <v>#DIV/0!</v>
      </c>
    </row>
    <row r="81" spans="1:26" ht="12.9" customHeight="1">
      <c r="A81" s="116">
        <f t="shared" si="33"/>
        <v>950</v>
      </c>
      <c r="B81" s="50">
        <v>19</v>
      </c>
      <c r="C81" s="48">
        <f>FORMAT_HAR_V!C23</f>
        <v>1.03</v>
      </c>
      <c r="D81" s="518" t="e">
        <f>FORMAT_HAR_V!BY23</f>
        <v>#DIV/0!</v>
      </c>
      <c r="E81" s="381" t="e">
        <f>FORMAT_HAR_V!CB23</f>
        <v>#DIV/0!</v>
      </c>
      <c r="F81" s="286" t="e">
        <f>0.01*FORMAT_HAR_V!AL23*C81*1000</f>
        <v>#DIV/0!</v>
      </c>
      <c r="G81" s="231" t="e">
        <f t="shared" si="34"/>
        <v>#DIV/0!</v>
      </c>
      <c r="H81" s="199">
        <f t="shared" ref="H81:H112" si="53">1000*(0.000451*C81+0.0022)</f>
        <v>2.6645300000000001</v>
      </c>
      <c r="I81" s="276">
        <f t="shared" si="35"/>
        <v>3.0542859508892848</v>
      </c>
      <c r="J81" s="276"/>
      <c r="K81" s="199">
        <f t="shared" si="51"/>
        <v>0.05</v>
      </c>
      <c r="L81" s="288" t="e">
        <f t="shared" si="37"/>
        <v>#DIV/0!</v>
      </c>
      <c r="M81" s="286" t="e">
        <f>0.01*FORMAT_HAR_V!BV23*C81*1000</f>
        <v>#DIV/0!</v>
      </c>
      <c r="N81" s="231" t="e">
        <f t="shared" si="38"/>
        <v>#DIV/0!</v>
      </c>
      <c r="O81" s="199">
        <f t="shared" ref="O81:O112" si="54">1000*(0.000451*C81+0.0022)</f>
        <v>2.6645300000000001</v>
      </c>
      <c r="P81" s="276">
        <f t="shared" si="39"/>
        <v>3.0542859508892848</v>
      </c>
      <c r="Q81" s="276"/>
      <c r="R81" s="199">
        <f t="shared" si="52"/>
        <v>0.05</v>
      </c>
      <c r="S81" s="288" t="e">
        <f t="shared" si="41"/>
        <v>#DIV/0!</v>
      </c>
      <c r="T81" s="541" t="e">
        <f t="shared" si="42"/>
        <v>#DIV/0!</v>
      </c>
      <c r="U81" s="312">
        <f t="shared" si="43"/>
        <v>5.15</v>
      </c>
      <c r="V81" s="458">
        <f t="shared" si="44"/>
        <v>51.500000000000007</v>
      </c>
      <c r="W81" s="319" t="e">
        <f t="shared" si="45"/>
        <v>#DIV/0!</v>
      </c>
      <c r="X81" s="467" t="e">
        <f t="shared" si="46"/>
        <v>#DIV/0!</v>
      </c>
      <c r="Y81" s="463" t="e">
        <f t="shared" si="47"/>
        <v>#DIV/0!</v>
      </c>
      <c r="Z81" s="316" t="e">
        <f t="shared" si="48"/>
        <v>#DIV/0!</v>
      </c>
    </row>
    <row r="82" spans="1:26" ht="12.9" customHeight="1">
      <c r="A82" s="116">
        <f t="shared" si="33"/>
        <v>1000</v>
      </c>
      <c r="B82" s="50">
        <v>20</v>
      </c>
      <c r="C82" s="48">
        <f>FORMAT_HAR_V!C24</f>
        <v>0.8</v>
      </c>
      <c r="D82" s="518" t="e">
        <f>FORMAT_HAR_V!BY24</f>
        <v>#DIV/0!</v>
      </c>
      <c r="E82" s="381" t="e">
        <f>FORMAT_HAR_V!CB24</f>
        <v>#DIV/0!</v>
      </c>
      <c r="F82" s="286" t="e">
        <f>0.01*FORMAT_HAR_V!AL24*C82*1000</f>
        <v>#DIV/0!</v>
      </c>
      <c r="G82" s="231" t="e">
        <f t="shared" si="34"/>
        <v>#DIV/0!</v>
      </c>
      <c r="H82" s="199">
        <f t="shared" si="53"/>
        <v>2.5608000000000004</v>
      </c>
      <c r="I82" s="276">
        <f t="shared" si="35"/>
        <v>2.3722609327295419</v>
      </c>
      <c r="J82" s="276"/>
      <c r="K82" s="199">
        <f t="shared" si="51"/>
        <v>0.05</v>
      </c>
      <c r="L82" s="288" t="e">
        <f t="shared" si="37"/>
        <v>#DIV/0!</v>
      </c>
      <c r="M82" s="286" t="e">
        <f>0.01*FORMAT_HAR_V!BV24*C82*1000</f>
        <v>#DIV/0!</v>
      </c>
      <c r="N82" s="231" t="e">
        <f t="shared" si="38"/>
        <v>#DIV/0!</v>
      </c>
      <c r="O82" s="199">
        <f t="shared" si="54"/>
        <v>2.5608000000000004</v>
      </c>
      <c r="P82" s="276">
        <f t="shared" si="39"/>
        <v>2.3722609327295419</v>
      </c>
      <c r="Q82" s="276"/>
      <c r="R82" s="199">
        <f t="shared" si="52"/>
        <v>0.05</v>
      </c>
      <c r="S82" s="288" t="e">
        <f t="shared" si="41"/>
        <v>#DIV/0!</v>
      </c>
      <c r="T82" s="541" t="e">
        <f t="shared" si="42"/>
        <v>#DIV/0!</v>
      </c>
      <c r="U82" s="312">
        <f t="shared" si="43"/>
        <v>4</v>
      </c>
      <c r="V82" s="458">
        <f t="shared" si="44"/>
        <v>40.000000000000007</v>
      </c>
      <c r="W82" s="319" t="e">
        <f t="shared" si="45"/>
        <v>#DIV/0!</v>
      </c>
      <c r="X82" s="467" t="e">
        <f t="shared" si="46"/>
        <v>#DIV/0!</v>
      </c>
      <c r="Y82" s="463" t="e">
        <f t="shared" si="47"/>
        <v>#DIV/0!</v>
      </c>
      <c r="Z82" s="316" t="e">
        <f t="shared" si="48"/>
        <v>#DIV/0!</v>
      </c>
    </row>
    <row r="83" spans="1:26" ht="12.9" customHeight="1">
      <c r="A83" s="116">
        <f t="shared" si="33"/>
        <v>1050</v>
      </c>
      <c r="B83" s="50">
        <v>21</v>
      </c>
      <c r="C83" s="48">
        <f>FORMAT_HAR_V!C25</f>
        <v>0.93200000000000005</v>
      </c>
      <c r="D83" s="518" t="e">
        <f>FORMAT_HAR_V!BY25</f>
        <v>#DIV/0!</v>
      </c>
      <c r="E83" s="381" t="e">
        <f>FORMAT_HAR_V!CB25</f>
        <v>#DIV/0!</v>
      </c>
      <c r="F83" s="286" t="e">
        <f>0.01*FORMAT_HAR_V!AL25*C83*1000</f>
        <v>#DIV/0!</v>
      </c>
      <c r="G83" s="231" t="e">
        <f t="shared" si="34"/>
        <v>#DIV/0!</v>
      </c>
      <c r="H83" s="199">
        <f t="shared" si="53"/>
        <v>2.6203320000000003</v>
      </c>
      <c r="I83" s="276">
        <f t="shared" si="35"/>
        <v>2.7636839866299163</v>
      </c>
      <c r="J83" s="276"/>
      <c r="K83" s="199">
        <f t="shared" si="51"/>
        <v>0.05</v>
      </c>
      <c r="L83" s="288" t="e">
        <f t="shared" si="37"/>
        <v>#DIV/0!</v>
      </c>
      <c r="M83" s="286" t="e">
        <f>0.01*FORMAT_HAR_V!BV25*C83*1000</f>
        <v>#DIV/0!</v>
      </c>
      <c r="N83" s="231" t="e">
        <f t="shared" si="38"/>
        <v>#DIV/0!</v>
      </c>
      <c r="O83" s="199">
        <f t="shared" si="54"/>
        <v>2.6203320000000003</v>
      </c>
      <c r="P83" s="276">
        <f t="shared" si="39"/>
        <v>2.7636839866299163</v>
      </c>
      <c r="Q83" s="276"/>
      <c r="R83" s="199">
        <f t="shared" si="52"/>
        <v>0.05</v>
      </c>
      <c r="S83" s="288" t="e">
        <f t="shared" si="41"/>
        <v>#DIV/0!</v>
      </c>
      <c r="T83" s="541" t="e">
        <f t="shared" si="42"/>
        <v>#DIV/0!</v>
      </c>
      <c r="U83" s="312">
        <f t="shared" si="43"/>
        <v>4.66</v>
      </c>
      <c r="V83" s="458">
        <f t="shared" si="44"/>
        <v>46.6</v>
      </c>
      <c r="W83" s="319" t="e">
        <f t="shared" si="45"/>
        <v>#DIV/0!</v>
      </c>
      <c r="X83" s="467" t="e">
        <f t="shared" si="46"/>
        <v>#DIV/0!</v>
      </c>
      <c r="Y83" s="463" t="e">
        <f t="shared" si="47"/>
        <v>#DIV/0!</v>
      </c>
      <c r="Z83" s="316" t="e">
        <f t="shared" si="48"/>
        <v>#DIV/0!</v>
      </c>
    </row>
    <row r="84" spans="1:26" ht="12.9" customHeight="1">
      <c r="A84" s="116">
        <f t="shared" si="33"/>
        <v>1100</v>
      </c>
      <c r="B84" s="50">
        <v>22</v>
      </c>
      <c r="C84" s="48">
        <f>FORMAT_HAR_V!C26</f>
        <v>0.72799999999999998</v>
      </c>
      <c r="D84" s="518" t="e">
        <f>FORMAT_HAR_V!BY26</f>
        <v>#DIV/0!</v>
      </c>
      <c r="E84" s="381" t="e">
        <f>FORMAT_HAR_V!CB26</f>
        <v>#DIV/0!</v>
      </c>
      <c r="F84" s="286" t="e">
        <f>0.01*FORMAT_HAR_V!AL26*C84*1000</f>
        <v>#DIV/0!</v>
      </c>
      <c r="G84" s="231" t="e">
        <f t="shared" si="34"/>
        <v>#DIV/0!</v>
      </c>
      <c r="H84" s="199">
        <f t="shared" si="53"/>
        <v>2.5283280000000001</v>
      </c>
      <c r="I84" s="276">
        <f t="shared" si="35"/>
        <v>2.158757448783883</v>
      </c>
      <c r="J84" s="276"/>
      <c r="K84" s="199">
        <f>1000*0.00001/2</f>
        <v>5.0000000000000001E-3</v>
      </c>
      <c r="L84" s="288" t="e">
        <f t="shared" si="37"/>
        <v>#DIV/0!</v>
      </c>
      <c r="M84" s="286" t="e">
        <f>0.01*FORMAT_HAR_V!BV26*C84*1000</f>
        <v>#DIV/0!</v>
      </c>
      <c r="N84" s="231" t="e">
        <f t="shared" si="38"/>
        <v>#DIV/0!</v>
      </c>
      <c r="O84" s="199">
        <f t="shared" si="54"/>
        <v>2.5283280000000001</v>
      </c>
      <c r="P84" s="276">
        <f t="shared" si="39"/>
        <v>2.158757448783883</v>
      </c>
      <c r="Q84" s="276"/>
      <c r="R84" s="199">
        <f>1000*0.00001/2</f>
        <v>5.0000000000000001E-3</v>
      </c>
      <c r="S84" s="288" t="e">
        <f t="shared" si="41"/>
        <v>#DIV/0!</v>
      </c>
      <c r="T84" s="541" t="e">
        <f t="shared" si="42"/>
        <v>#DIV/0!</v>
      </c>
      <c r="U84" s="312">
        <f t="shared" si="43"/>
        <v>3.64</v>
      </c>
      <c r="V84" s="458">
        <f t="shared" si="44"/>
        <v>36.4</v>
      </c>
      <c r="W84" s="319" t="e">
        <f t="shared" si="45"/>
        <v>#DIV/0!</v>
      </c>
      <c r="X84" s="467" t="e">
        <f t="shared" si="46"/>
        <v>#DIV/0!</v>
      </c>
      <c r="Y84" s="463" t="e">
        <f t="shared" si="47"/>
        <v>#DIV/0!</v>
      </c>
      <c r="Z84" s="316" t="e">
        <f t="shared" si="48"/>
        <v>#DIV/0!</v>
      </c>
    </row>
    <row r="85" spans="1:26" ht="12.9" customHeight="1">
      <c r="A85" s="116">
        <f t="shared" si="33"/>
        <v>1150</v>
      </c>
      <c r="B85" s="50">
        <v>23</v>
      </c>
      <c r="C85" s="48">
        <f>FORMAT_HAR_V!C27</f>
        <v>0.84</v>
      </c>
      <c r="D85" s="518" t="e">
        <f>FORMAT_HAR_V!BY27</f>
        <v>#DIV/0!</v>
      </c>
      <c r="E85" s="381" t="e">
        <f>FORMAT_HAR_V!CB27</f>
        <v>#DIV/0!</v>
      </c>
      <c r="F85" s="286" t="e">
        <f>0.01*FORMAT_HAR_V!AL27*C85*1000</f>
        <v>#DIV/0!</v>
      </c>
      <c r="G85" s="231" t="e">
        <f t="shared" si="34"/>
        <v>#DIV/0!</v>
      </c>
      <c r="H85" s="199">
        <f t="shared" si="53"/>
        <v>2.57884</v>
      </c>
      <c r="I85" s="276">
        <f t="shared" si="35"/>
        <v>2.4908739793660191</v>
      </c>
      <c r="J85" s="276"/>
      <c r="K85" s="199">
        <f>1000*0.0001/2</f>
        <v>0.05</v>
      </c>
      <c r="L85" s="288" t="e">
        <f t="shared" si="37"/>
        <v>#DIV/0!</v>
      </c>
      <c r="M85" s="286" t="e">
        <f>0.01*FORMAT_HAR_V!BV27*C85*1000</f>
        <v>#DIV/0!</v>
      </c>
      <c r="N85" s="231" t="e">
        <f t="shared" si="38"/>
        <v>#DIV/0!</v>
      </c>
      <c r="O85" s="199">
        <f t="shared" si="54"/>
        <v>2.57884</v>
      </c>
      <c r="P85" s="276">
        <f t="shared" si="39"/>
        <v>2.4908739793660191</v>
      </c>
      <c r="Q85" s="276"/>
      <c r="R85" s="199">
        <f>1000*0.0001/2</f>
        <v>0.05</v>
      </c>
      <c r="S85" s="288" t="e">
        <f t="shared" si="41"/>
        <v>#DIV/0!</v>
      </c>
      <c r="T85" s="541" t="e">
        <f t="shared" si="42"/>
        <v>#DIV/0!</v>
      </c>
      <c r="U85" s="312">
        <f t="shared" si="43"/>
        <v>4.2</v>
      </c>
      <c r="V85" s="458">
        <f t="shared" si="44"/>
        <v>42</v>
      </c>
      <c r="W85" s="319" t="e">
        <f t="shared" si="45"/>
        <v>#DIV/0!</v>
      </c>
      <c r="X85" s="467" t="e">
        <f t="shared" si="46"/>
        <v>#DIV/0!</v>
      </c>
      <c r="Y85" s="463" t="e">
        <f t="shared" si="47"/>
        <v>#DIV/0!</v>
      </c>
      <c r="Z85" s="316" t="e">
        <f t="shared" si="48"/>
        <v>#DIV/0!</v>
      </c>
    </row>
    <row r="86" spans="1:26" ht="12.9" customHeight="1">
      <c r="A86" s="116">
        <f t="shared" si="33"/>
        <v>1200</v>
      </c>
      <c r="B86" s="50">
        <v>24</v>
      </c>
      <c r="C86" s="48">
        <f>FORMAT_HAR_V!C28</f>
        <v>0.66600000000000004</v>
      </c>
      <c r="D86" s="518" t="e">
        <f>FORMAT_HAR_V!BY28</f>
        <v>#DIV/0!</v>
      </c>
      <c r="E86" s="381" t="e">
        <f>FORMAT_HAR_V!CB28</f>
        <v>#DIV/0!</v>
      </c>
      <c r="F86" s="286" t="e">
        <f>0.01*FORMAT_HAR_V!AL28*C86*1000</f>
        <v>#DIV/0!</v>
      </c>
      <c r="G86" s="231" t="e">
        <f t="shared" si="34"/>
        <v>#DIV/0!</v>
      </c>
      <c r="H86" s="199">
        <f t="shared" si="53"/>
        <v>2.5003660000000005</v>
      </c>
      <c r="I86" s="276">
        <f t="shared" si="35"/>
        <v>1.9749072264973435</v>
      </c>
      <c r="J86" s="276"/>
      <c r="K86" s="199">
        <f>1000*0.00001/2</f>
        <v>5.0000000000000001E-3</v>
      </c>
      <c r="L86" s="288" t="e">
        <f t="shared" si="37"/>
        <v>#DIV/0!</v>
      </c>
      <c r="M86" s="286" t="e">
        <f>0.01*FORMAT_HAR_V!BV28*C86*1000</f>
        <v>#DIV/0!</v>
      </c>
      <c r="N86" s="231" t="e">
        <f t="shared" si="38"/>
        <v>#DIV/0!</v>
      </c>
      <c r="O86" s="199">
        <f t="shared" si="54"/>
        <v>2.5003660000000005</v>
      </c>
      <c r="P86" s="276">
        <f t="shared" si="39"/>
        <v>1.9749072264973435</v>
      </c>
      <c r="Q86" s="276"/>
      <c r="R86" s="199">
        <f>1000*0.00001/2</f>
        <v>5.0000000000000001E-3</v>
      </c>
      <c r="S86" s="288" t="e">
        <f t="shared" si="41"/>
        <v>#DIV/0!</v>
      </c>
      <c r="T86" s="541" t="e">
        <f t="shared" si="42"/>
        <v>#DIV/0!</v>
      </c>
      <c r="U86" s="312">
        <f t="shared" si="43"/>
        <v>3.33</v>
      </c>
      <c r="V86" s="458">
        <f t="shared" si="44"/>
        <v>33.300000000000004</v>
      </c>
      <c r="W86" s="319" t="e">
        <f t="shared" si="45"/>
        <v>#DIV/0!</v>
      </c>
      <c r="X86" s="467" t="e">
        <f t="shared" si="46"/>
        <v>#DIV/0!</v>
      </c>
      <c r="Y86" s="463" t="e">
        <f t="shared" si="47"/>
        <v>#DIV/0!</v>
      </c>
      <c r="Z86" s="316" t="e">
        <f t="shared" si="48"/>
        <v>#DIV/0!</v>
      </c>
    </row>
    <row r="87" spans="1:26" ht="12.9" customHeight="1">
      <c r="A87" s="116">
        <f t="shared" si="33"/>
        <v>1250</v>
      </c>
      <c r="B87" s="50">
        <v>25</v>
      </c>
      <c r="C87" s="48">
        <f>FORMAT_HAR_V!C29</f>
        <v>0.78200000000000003</v>
      </c>
      <c r="D87" s="518" t="e">
        <f>FORMAT_HAR_V!BY29</f>
        <v>#DIV/0!</v>
      </c>
      <c r="E87" s="381" t="e">
        <f>FORMAT_HAR_V!CB29</f>
        <v>#DIV/0!</v>
      </c>
      <c r="F87" s="286" t="e">
        <f>0.01*FORMAT_HAR_V!AL29*C87*1000</f>
        <v>#DIV/0!</v>
      </c>
      <c r="G87" s="231" t="e">
        <f t="shared" si="34"/>
        <v>#DIV/0!</v>
      </c>
      <c r="H87" s="199">
        <f t="shared" si="53"/>
        <v>2.5526820000000003</v>
      </c>
      <c r="I87" s="276">
        <f t="shared" si="35"/>
        <v>2.3188850617431274</v>
      </c>
      <c r="J87" s="276"/>
      <c r="K87" s="199">
        <f>1000*0.0001/2</f>
        <v>0.05</v>
      </c>
      <c r="L87" s="288" t="e">
        <f t="shared" si="37"/>
        <v>#DIV/0!</v>
      </c>
      <c r="M87" s="286" t="e">
        <f>0.01*FORMAT_HAR_V!BV29*C87*1000</f>
        <v>#DIV/0!</v>
      </c>
      <c r="N87" s="231" t="e">
        <f t="shared" si="38"/>
        <v>#DIV/0!</v>
      </c>
      <c r="O87" s="199">
        <f t="shared" si="54"/>
        <v>2.5526820000000003</v>
      </c>
      <c r="P87" s="276">
        <f t="shared" si="39"/>
        <v>2.3188850617431274</v>
      </c>
      <c r="Q87" s="276"/>
      <c r="R87" s="199">
        <f>1000*0.0001/2</f>
        <v>0.05</v>
      </c>
      <c r="S87" s="288" t="e">
        <f t="shared" si="41"/>
        <v>#DIV/0!</v>
      </c>
      <c r="T87" s="541" t="e">
        <f t="shared" si="42"/>
        <v>#DIV/0!</v>
      </c>
      <c r="U87" s="312">
        <f t="shared" si="43"/>
        <v>3.91</v>
      </c>
      <c r="V87" s="458">
        <f t="shared" si="44"/>
        <v>39.1</v>
      </c>
      <c r="W87" s="319" t="e">
        <f t="shared" si="45"/>
        <v>#DIV/0!</v>
      </c>
      <c r="X87" s="467" t="e">
        <f t="shared" si="46"/>
        <v>#DIV/0!</v>
      </c>
      <c r="Y87" s="463" t="e">
        <f t="shared" si="47"/>
        <v>#DIV/0!</v>
      </c>
      <c r="Z87" s="316" t="e">
        <f t="shared" si="48"/>
        <v>#DIV/0!</v>
      </c>
    </row>
    <row r="88" spans="1:26" ht="12.9" customHeight="1">
      <c r="A88" s="116">
        <f t="shared" si="33"/>
        <v>1300</v>
      </c>
      <c r="B88" s="50">
        <v>26</v>
      </c>
      <c r="C88" s="48">
        <f>FORMAT_HAR_V!C30</f>
        <v>0.61599999999999999</v>
      </c>
      <c r="D88" s="518" t="e">
        <f>FORMAT_HAR_V!BY30</f>
        <v>#DIV/0!</v>
      </c>
      <c r="E88" s="381" t="e">
        <f>FORMAT_HAR_V!CB30</f>
        <v>#DIV/0!</v>
      </c>
      <c r="F88" s="286" t="e">
        <f>0.01*FORMAT_HAR_V!AL30*C88*1000</f>
        <v>#DIV/0!</v>
      </c>
      <c r="G88" s="231" t="e">
        <f t="shared" si="34"/>
        <v>#DIV/0!</v>
      </c>
      <c r="H88" s="199">
        <f t="shared" si="53"/>
        <v>2.4778160000000002</v>
      </c>
      <c r="I88" s="276">
        <f t="shared" si="35"/>
        <v>1.8266409182017471</v>
      </c>
      <c r="J88" s="276"/>
      <c r="K88" s="199">
        <f>1000*0.00001/2</f>
        <v>5.0000000000000001E-3</v>
      </c>
      <c r="L88" s="288" t="e">
        <f t="shared" si="37"/>
        <v>#DIV/0!</v>
      </c>
      <c r="M88" s="286" t="e">
        <f>0.01*FORMAT_HAR_V!BV30*C88*1000</f>
        <v>#DIV/0!</v>
      </c>
      <c r="N88" s="231" t="e">
        <f t="shared" si="38"/>
        <v>#DIV/0!</v>
      </c>
      <c r="O88" s="199">
        <f t="shared" si="54"/>
        <v>2.4778160000000002</v>
      </c>
      <c r="P88" s="276">
        <f t="shared" si="39"/>
        <v>1.8266409182017471</v>
      </c>
      <c r="Q88" s="276"/>
      <c r="R88" s="199">
        <f>1000*0.00001/2</f>
        <v>5.0000000000000001E-3</v>
      </c>
      <c r="S88" s="288" t="e">
        <f t="shared" si="41"/>
        <v>#DIV/0!</v>
      </c>
      <c r="T88" s="541" t="e">
        <f t="shared" si="42"/>
        <v>#DIV/0!</v>
      </c>
      <c r="U88" s="312">
        <f t="shared" si="43"/>
        <v>3.0799999999999996</v>
      </c>
      <c r="V88" s="458">
        <f t="shared" si="44"/>
        <v>30.8</v>
      </c>
      <c r="W88" s="319" t="e">
        <f t="shared" si="45"/>
        <v>#DIV/0!</v>
      </c>
      <c r="X88" s="467" t="e">
        <f t="shared" si="46"/>
        <v>#DIV/0!</v>
      </c>
      <c r="Y88" s="463" t="e">
        <f t="shared" si="47"/>
        <v>#DIV/0!</v>
      </c>
      <c r="Z88" s="316" t="e">
        <f t="shared" si="48"/>
        <v>#DIV/0!</v>
      </c>
    </row>
    <row r="89" spans="1:26" ht="12.9" customHeight="1">
      <c r="A89" s="116">
        <f t="shared" si="33"/>
        <v>1350</v>
      </c>
      <c r="B89" s="50">
        <v>27</v>
      </c>
      <c r="C89" s="48">
        <f>FORMAT_HAR_V!C31</f>
        <v>0.72399999999999998</v>
      </c>
      <c r="D89" s="518" t="e">
        <f>FORMAT_HAR_V!BY31</f>
        <v>#DIV/0!</v>
      </c>
      <c r="E89" s="381" t="e">
        <f>FORMAT_HAR_V!CB31</f>
        <v>#DIV/0!</v>
      </c>
      <c r="F89" s="286" t="e">
        <f>0.01*FORMAT_HAR_V!AL31*C89*1000</f>
        <v>#DIV/0!</v>
      </c>
      <c r="G89" s="231" t="e">
        <f t="shared" si="34"/>
        <v>#DIV/0!</v>
      </c>
      <c r="H89" s="199">
        <f t="shared" si="53"/>
        <v>2.5265240000000002</v>
      </c>
      <c r="I89" s="276">
        <f t="shared" si="35"/>
        <v>2.1468961441202352</v>
      </c>
      <c r="J89" s="276"/>
      <c r="K89" s="199">
        <f t="shared" ref="K89:K112" si="55">1000*0.00001/2</f>
        <v>5.0000000000000001E-3</v>
      </c>
      <c r="L89" s="288" t="e">
        <f t="shared" si="37"/>
        <v>#DIV/0!</v>
      </c>
      <c r="M89" s="286" t="e">
        <f>0.01*FORMAT_HAR_V!BV31*C89*1000</f>
        <v>#DIV/0!</v>
      </c>
      <c r="N89" s="231" t="e">
        <f t="shared" si="38"/>
        <v>#DIV/0!</v>
      </c>
      <c r="O89" s="199">
        <f t="shared" si="54"/>
        <v>2.5265240000000002</v>
      </c>
      <c r="P89" s="276">
        <f t="shared" si="39"/>
        <v>2.1468961441202352</v>
      </c>
      <c r="Q89" s="276"/>
      <c r="R89" s="199">
        <f t="shared" ref="R89:R112" si="56">1000*0.00001/2</f>
        <v>5.0000000000000001E-3</v>
      </c>
      <c r="S89" s="288" t="e">
        <f t="shared" si="41"/>
        <v>#DIV/0!</v>
      </c>
      <c r="T89" s="541" t="e">
        <f t="shared" si="42"/>
        <v>#DIV/0!</v>
      </c>
      <c r="U89" s="312">
        <f t="shared" si="43"/>
        <v>3.62</v>
      </c>
      <c r="V89" s="458">
        <f t="shared" si="44"/>
        <v>36.200000000000003</v>
      </c>
      <c r="W89" s="319" t="e">
        <f t="shared" si="45"/>
        <v>#DIV/0!</v>
      </c>
      <c r="X89" s="467" t="e">
        <f t="shared" si="46"/>
        <v>#DIV/0!</v>
      </c>
      <c r="Y89" s="463" t="e">
        <f t="shared" si="47"/>
        <v>#DIV/0!</v>
      </c>
      <c r="Z89" s="316" t="e">
        <f t="shared" si="48"/>
        <v>#DIV/0!</v>
      </c>
    </row>
    <row r="90" spans="1:26" ht="12.9" customHeight="1">
      <c r="A90" s="116">
        <f t="shared" si="33"/>
        <v>1400</v>
      </c>
      <c r="B90" s="50">
        <v>28</v>
      </c>
      <c r="C90" s="48">
        <f>FORMAT_HAR_V!C32</f>
        <v>0.57199999999999995</v>
      </c>
      <c r="D90" s="518" t="e">
        <f>FORMAT_HAR_V!BY32</f>
        <v>#DIV/0!</v>
      </c>
      <c r="E90" s="381" t="e">
        <f>FORMAT_HAR_V!CB32</f>
        <v>#DIV/0!</v>
      </c>
      <c r="F90" s="286" t="e">
        <f>0.01*FORMAT_HAR_V!AL32*C90*1000</f>
        <v>#DIV/0!</v>
      </c>
      <c r="G90" s="231" t="e">
        <f t="shared" si="34"/>
        <v>#DIV/0!</v>
      </c>
      <c r="H90" s="199">
        <f t="shared" si="53"/>
        <v>2.4579720000000003</v>
      </c>
      <c r="I90" s="276">
        <f t="shared" si="35"/>
        <v>1.6961665669016224</v>
      </c>
      <c r="J90" s="276"/>
      <c r="K90" s="199">
        <f t="shared" si="55"/>
        <v>5.0000000000000001E-3</v>
      </c>
      <c r="L90" s="288" t="e">
        <f t="shared" si="37"/>
        <v>#DIV/0!</v>
      </c>
      <c r="M90" s="286" t="e">
        <f>0.01*FORMAT_HAR_V!BV32*C90*1000</f>
        <v>#DIV/0!</v>
      </c>
      <c r="N90" s="231" t="e">
        <f t="shared" si="38"/>
        <v>#DIV/0!</v>
      </c>
      <c r="O90" s="199">
        <f t="shared" si="54"/>
        <v>2.4579720000000003</v>
      </c>
      <c r="P90" s="276">
        <f t="shared" si="39"/>
        <v>1.6961665669016224</v>
      </c>
      <c r="Q90" s="276"/>
      <c r="R90" s="199">
        <f t="shared" si="56"/>
        <v>5.0000000000000001E-3</v>
      </c>
      <c r="S90" s="288" t="e">
        <f t="shared" si="41"/>
        <v>#DIV/0!</v>
      </c>
      <c r="T90" s="541" t="e">
        <f t="shared" si="42"/>
        <v>#DIV/0!</v>
      </c>
      <c r="U90" s="312">
        <f t="shared" si="43"/>
        <v>2.86</v>
      </c>
      <c r="V90" s="458">
        <f>0.0005*57.735*1000</f>
        <v>28.8675</v>
      </c>
      <c r="W90" s="319" t="e">
        <f t="shared" si="45"/>
        <v>#DIV/0!</v>
      </c>
      <c r="X90" s="467" t="e">
        <f t="shared" si="46"/>
        <v>#DIV/0!</v>
      </c>
      <c r="Y90" s="463" t="e">
        <f t="shared" si="47"/>
        <v>#DIV/0!</v>
      </c>
      <c r="Z90" s="316" t="e">
        <f t="shared" si="48"/>
        <v>#DIV/0!</v>
      </c>
    </row>
    <row r="91" spans="1:26" ht="12.9" customHeight="1">
      <c r="A91" s="116">
        <f t="shared" si="33"/>
        <v>1450</v>
      </c>
      <c r="B91" s="50">
        <v>29</v>
      </c>
      <c r="C91" s="48">
        <f>FORMAT_HAR_V!C33</f>
        <v>0.67400000000000004</v>
      </c>
      <c r="D91" s="518" t="e">
        <f>FORMAT_HAR_V!BY33</f>
        <v>#DIV/0!</v>
      </c>
      <c r="E91" s="381" t="e">
        <f>FORMAT_HAR_V!CB33</f>
        <v>#DIV/0!</v>
      </c>
      <c r="F91" s="286" t="e">
        <f>0.01*FORMAT_HAR_V!AL33*C91*1000</f>
        <v>#DIV/0!</v>
      </c>
      <c r="G91" s="231" t="e">
        <f t="shared" si="34"/>
        <v>#DIV/0!</v>
      </c>
      <c r="H91" s="199">
        <f t="shared" si="53"/>
        <v>2.5039739999999999</v>
      </c>
      <c r="I91" s="276">
        <f t="shared" si="35"/>
        <v>1.998629835824639</v>
      </c>
      <c r="J91" s="276"/>
      <c r="K91" s="199">
        <f t="shared" si="55"/>
        <v>5.0000000000000001E-3</v>
      </c>
      <c r="L91" s="288" t="e">
        <f t="shared" si="37"/>
        <v>#DIV/0!</v>
      </c>
      <c r="M91" s="286" t="e">
        <f>0.01*FORMAT_HAR_V!BV33*C91*1000</f>
        <v>#DIV/0!</v>
      </c>
      <c r="N91" s="231" t="e">
        <f t="shared" si="38"/>
        <v>#DIV/0!</v>
      </c>
      <c r="O91" s="199">
        <f t="shared" si="54"/>
        <v>2.5039739999999999</v>
      </c>
      <c r="P91" s="276">
        <f t="shared" si="39"/>
        <v>1.998629835824639</v>
      </c>
      <c r="Q91" s="276"/>
      <c r="R91" s="199">
        <f t="shared" si="56"/>
        <v>5.0000000000000001E-3</v>
      </c>
      <c r="S91" s="288" t="e">
        <f t="shared" si="41"/>
        <v>#DIV/0!</v>
      </c>
      <c r="T91" s="541" t="e">
        <f t="shared" si="42"/>
        <v>#DIV/0!</v>
      </c>
      <c r="U91" s="312">
        <f t="shared" si="43"/>
        <v>3.37</v>
      </c>
      <c r="V91" s="458">
        <f t="shared" si="44"/>
        <v>33.700000000000003</v>
      </c>
      <c r="W91" s="319" t="e">
        <f t="shared" si="45"/>
        <v>#DIV/0!</v>
      </c>
      <c r="X91" s="467" t="e">
        <f t="shared" si="46"/>
        <v>#DIV/0!</v>
      </c>
      <c r="Y91" s="463" t="e">
        <f t="shared" si="47"/>
        <v>#DIV/0!</v>
      </c>
      <c r="Z91" s="316" t="e">
        <f t="shared" si="48"/>
        <v>#DIV/0!</v>
      </c>
    </row>
    <row r="92" spans="1:26" ht="12.9" customHeight="1">
      <c r="A92" s="116">
        <f t="shared" si="33"/>
        <v>1500</v>
      </c>
      <c r="B92" s="50">
        <v>30</v>
      </c>
      <c r="C92" s="48">
        <f>FORMAT_HAR_V!C34</f>
        <v>0.53400000000000003</v>
      </c>
      <c r="D92" s="518" t="e">
        <f>FORMAT_HAR_V!BY34</f>
        <v>#DIV/0!</v>
      </c>
      <c r="E92" s="381" t="e">
        <f>FORMAT_HAR_V!CB34</f>
        <v>#DIV/0!</v>
      </c>
      <c r="F92" s="286" t="e">
        <f>0.01*FORMAT_HAR_V!AL34*C92*1000</f>
        <v>#DIV/0!</v>
      </c>
      <c r="G92" s="231" t="e">
        <f t="shared" si="34"/>
        <v>#DIV/0!</v>
      </c>
      <c r="H92" s="199">
        <f t="shared" si="53"/>
        <v>2.4408340000000002</v>
      </c>
      <c r="I92" s="276">
        <f t="shared" si="35"/>
        <v>1.5834841725969693</v>
      </c>
      <c r="J92" s="276"/>
      <c r="K92" s="199">
        <f t="shared" si="55"/>
        <v>5.0000000000000001E-3</v>
      </c>
      <c r="L92" s="288" t="e">
        <f t="shared" si="37"/>
        <v>#DIV/0!</v>
      </c>
      <c r="M92" s="286" t="e">
        <f>0.01*FORMAT_HAR_V!BV34*C92*1000</f>
        <v>#DIV/0!</v>
      </c>
      <c r="N92" s="231" t="e">
        <f t="shared" si="38"/>
        <v>#DIV/0!</v>
      </c>
      <c r="O92" s="199">
        <f t="shared" si="54"/>
        <v>2.4408340000000002</v>
      </c>
      <c r="P92" s="276">
        <f t="shared" si="39"/>
        <v>1.5834841725969693</v>
      </c>
      <c r="Q92" s="276"/>
      <c r="R92" s="199">
        <f t="shared" si="56"/>
        <v>5.0000000000000001E-3</v>
      </c>
      <c r="S92" s="288" t="e">
        <f t="shared" si="41"/>
        <v>#DIV/0!</v>
      </c>
      <c r="T92" s="541" t="e">
        <f t="shared" si="42"/>
        <v>#DIV/0!</v>
      </c>
      <c r="U92" s="312">
        <f t="shared" si="43"/>
        <v>2.67</v>
      </c>
      <c r="V92" s="458">
        <f>0.0005*57.735*1000</f>
        <v>28.8675</v>
      </c>
      <c r="W92" s="319" t="e">
        <f t="shared" si="45"/>
        <v>#DIV/0!</v>
      </c>
      <c r="X92" s="467" t="e">
        <f t="shared" si="46"/>
        <v>#DIV/0!</v>
      </c>
      <c r="Y92" s="463" t="e">
        <f t="shared" si="47"/>
        <v>#DIV/0!</v>
      </c>
      <c r="Z92" s="316" t="e">
        <f t="shared" si="48"/>
        <v>#DIV/0!</v>
      </c>
    </row>
    <row r="93" spans="1:26" ht="12.9" customHeight="1">
      <c r="A93" s="116">
        <f t="shared" si="33"/>
        <v>1550</v>
      </c>
      <c r="B93" s="50">
        <v>31</v>
      </c>
      <c r="C93" s="48">
        <f>FORMAT_HAR_V!C35</f>
        <v>0.63200000000000001</v>
      </c>
      <c r="D93" s="518" t="e">
        <f>FORMAT_HAR_V!BY35</f>
        <v>#DIV/0!</v>
      </c>
      <c r="E93" s="381" t="e">
        <f>FORMAT_HAR_V!CB35</f>
        <v>#DIV/0!</v>
      </c>
      <c r="F93" s="286" t="e">
        <f>0.01*FORMAT_HAR_V!AL35*C93*1000</f>
        <v>#DIV/0!</v>
      </c>
      <c r="G93" s="231" t="e">
        <f t="shared" si="34"/>
        <v>#DIV/0!</v>
      </c>
      <c r="H93" s="199">
        <f t="shared" si="53"/>
        <v>2.4850320000000004</v>
      </c>
      <c r="I93" s="276">
        <f t="shared" si="35"/>
        <v>1.8740861368563382</v>
      </c>
      <c r="J93" s="276"/>
      <c r="K93" s="199">
        <f t="shared" si="55"/>
        <v>5.0000000000000001E-3</v>
      </c>
      <c r="L93" s="288" t="e">
        <f t="shared" si="37"/>
        <v>#DIV/0!</v>
      </c>
      <c r="M93" s="286" t="e">
        <f>0.01*FORMAT_HAR_V!BV35*C93*1000</f>
        <v>#DIV/0!</v>
      </c>
      <c r="N93" s="231" t="e">
        <f t="shared" si="38"/>
        <v>#DIV/0!</v>
      </c>
      <c r="O93" s="199">
        <f t="shared" si="54"/>
        <v>2.4850320000000004</v>
      </c>
      <c r="P93" s="276">
        <f t="shared" si="39"/>
        <v>1.8740861368563382</v>
      </c>
      <c r="Q93" s="276"/>
      <c r="R93" s="199">
        <f t="shared" si="56"/>
        <v>5.0000000000000001E-3</v>
      </c>
      <c r="S93" s="288" t="e">
        <f t="shared" si="41"/>
        <v>#DIV/0!</v>
      </c>
      <c r="T93" s="541" t="e">
        <f t="shared" si="42"/>
        <v>#DIV/0!</v>
      </c>
      <c r="U93" s="312">
        <f t="shared" si="43"/>
        <v>3.16</v>
      </c>
      <c r="V93" s="458">
        <f t="shared" si="44"/>
        <v>31.6</v>
      </c>
      <c r="W93" s="319" t="e">
        <f t="shared" si="45"/>
        <v>#DIV/0!</v>
      </c>
      <c r="X93" s="467" t="e">
        <f t="shared" si="46"/>
        <v>#DIV/0!</v>
      </c>
      <c r="Y93" s="463" t="e">
        <f t="shared" si="47"/>
        <v>#DIV/0!</v>
      </c>
      <c r="Z93" s="316" t="e">
        <f t="shared" si="48"/>
        <v>#DIV/0!</v>
      </c>
    </row>
    <row r="94" spans="1:26" ht="12.9" customHeight="1">
      <c r="A94" s="116">
        <f t="shared" si="33"/>
        <v>1600</v>
      </c>
      <c r="B94" s="50">
        <v>32</v>
      </c>
      <c r="C94" s="48">
        <f>FORMAT_HAR_V!C36</f>
        <v>0.5</v>
      </c>
      <c r="D94" s="518" t="e">
        <f>FORMAT_HAR_V!BY36</f>
        <v>#DIV/0!</v>
      </c>
      <c r="E94" s="381" t="e">
        <f>FORMAT_HAR_V!CB36</f>
        <v>#DIV/0!</v>
      </c>
      <c r="F94" s="286" t="e">
        <f>0.01*FORMAT_HAR_V!AL36*C94*1000</f>
        <v>#DIV/0!</v>
      </c>
      <c r="G94" s="231" t="e">
        <f t="shared" si="34"/>
        <v>#DIV/0!</v>
      </c>
      <c r="H94" s="199">
        <f t="shared" si="53"/>
        <v>2.4255</v>
      </c>
      <c r="I94" s="276">
        <f t="shared" si="35"/>
        <v>1.4826630829559637</v>
      </c>
      <c r="J94" s="276"/>
      <c r="K94" s="199">
        <f t="shared" si="55"/>
        <v>5.0000000000000001E-3</v>
      </c>
      <c r="L94" s="288" t="e">
        <f t="shared" si="37"/>
        <v>#DIV/0!</v>
      </c>
      <c r="M94" s="286" t="e">
        <f>0.01*FORMAT_HAR_V!BV36*C94*1000</f>
        <v>#DIV/0!</v>
      </c>
      <c r="N94" s="231" t="e">
        <f t="shared" si="38"/>
        <v>#DIV/0!</v>
      </c>
      <c r="O94" s="199">
        <f t="shared" si="54"/>
        <v>2.4255</v>
      </c>
      <c r="P94" s="276">
        <f t="shared" si="39"/>
        <v>1.4826630829559637</v>
      </c>
      <c r="Q94" s="276"/>
      <c r="R94" s="199">
        <f t="shared" si="56"/>
        <v>5.0000000000000001E-3</v>
      </c>
      <c r="S94" s="288" t="e">
        <f t="shared" si="41"/>
        <v>#DIV/0!</v>
      </c>
      <c r="T94" s="541" t="e">
        <f t="shared" si="42"/>
        <v>#DIV/0!</v>
      </c>
      <c r="U94" s="312">
        <f t="shared" si="43"/>
        <v>2.5</v>
      </c>
      <c r="V94" s="458">
        <f>0.0005*57.735*1000</f>
        <v>28.8675</v>
      </c>
      <c r="W94" s="319" t="e">
        <f t="shared" si="45"/>
        <v>#DIV/0!</v>
      </c>
      <c r="X94" s="467" t="e">
        <f t="shared" si="46"/>
        <v>#DIV/0!</v>
      </c>
      <c r="Y94" s="463" t="e">
        <f t="shared" si="47"/>
        <v>#DIV/0!</v>
      </c>
      <c r="Z94" s="316" t="e">
        <f t="shared" si="48"/>
        <v>#DIV/0!</v>
      </c>
    </row>
    <row r="95" spans="1:26" ht="12.9" customHeight="1">
      <c r="A95" s="116">
        <f t="shared" si="33"/>
        <v>1650</v>
      </c>
      <c r="B95" s="50">
        <v>33</v>
      </c>
      <c r="C95" s="48">
        <f>FORMAT_HAR_V!C37</f>
        <v>0.59199999999999997</v>
      </c>
      <c r="D95" s="518" t="e">
        <f>FORMAT_HAR_V!BY37</f>
        <v>#DIV/0!</v>
      </c>
      <c r="E95" s="381" t="e">
        <f>FORMAT_HAR_V!CB37</f>
        <v>#DIV/0!</v>
      </c>
      <c r="F95" s="286" t="e">
        <f>0.01*FORMAT_HAR_V!AL37*C95*1000</f>
        <v>#DIV/0!</v>
      </c>
      <c r="G95" s="231" t="e">
        <f t="shared" si="34"/>
        <v>#DIV/0!</v>
      </c>
      <c r="H95" s="199">
        <f t="shared" si="53"/>
        <v>2.4669920000000003</v>
      </c>
      <c r="I95" s="276">
        <f t="shared" si="35"/>
        <v>1.7554730902198612</v>
      </c>
      <c r="J95" s="276"/>
      <c r="K95" s="199">
        <f t="shared" si="55"/>
        <v>5.0000000000000001E-3</v>
      </c>
      <c r="L95" s="288" t="e">
        <f t="shared" si="37"/>
        <v>#DIV/0!</v>
      </c>
      <c r="M95" s="286" t="e">
        <f>0.01*FORMAT_HAR_V!BV37*C95*1000</f>
        <v>#DIV/0!</v>
      </c>
      <c r="N95" s="231" t="e">
        <f t="shared" si="38"/>
        <v>#DIV/0!</v>
      </c>
      <c r="O95" s="199">
        <f t="shared" si="54"/>
        <v>2.4669920000000003</v>
      </c>
      <c r="P95" s="276">
        <f t="shared" si="39"/>
        <v>1.7554730902198612</v>
      </c>
      <c r="Q95" s="276"/>
      <c r="R95" s="199">
        <f t="shared" si="56"/>
        <v>5.0000000000000001E-3</v>
      </c>
      <c r="S95" s="288" t="e">
        <f t="shared" si="41"/>
        <v>#DIV/0!</v>
      </c>
      <c r="T95" s="541" t="e">
        <f t="shared" si="42"/>
        <v>#DIV/0!</v>
      </c>
      <c r="U95" s="312">
        <f t="shared" si="43"/>
        <v>2.96</v>
      </c>
      <c r="V95" s="458">
        <f t="shared" si="44"/>
        <v>29.6</v>
      </c>
      <c r="W95" s="319" t="e">
        <f t="shared" si="45"/>
        <v>#DIV/0!</v>
      </c>
      <c r="X95" s="467" t="e">
        <f t="shared" si="46"/>
        <v>#DIV/0!</v>
      </c>
      <c r="Y95" s="463" t="e">
        <f t="shared" si="47"/>
        <v>#DIV/0!</v>
      </c>
      <c r="Z95" s="316" t="e">
        <f t="shared" si="48"/>
        <v>#DIV/0!</v>
      </c>
    </row>
    <row r="96" spans="1:26" ht="12.9" customHeight="1">
      <c r="A96" s="116">
        <f t="shared" si="33"/>
        <v>1700</v>
      </c>
      <c r="B96" s="50">
        <v>34</v>
      </c>
      <c r="C96" s="48">
        <f>FORMAT_HAR_V!C38</f>
        <v>0.47</v>
      </c>
      <c r="D96" s="518" t="e">
        <f>FORMAT_HAR_V!BY38</f>
        <v>#DIV/0!</v>
      </c>
      <c r="E96" s="381" t="e">
        <f>FORMAT_HAR_V!CB38</f>
        <v>#DIV/0!</v>
      </c>
      <c r="F96" s="286" t="e">
        <f>0.01*FORMAT_HAR_V!AL38*C96*1000</f>
        <v>#DIV/0!</v>
      </c>
      <c r="G96" s="231" t="e">
        <f t="shared" si="34"/>
        <v>#DIV/0!</v>
      </c>
      <c r="H96" s="199">
        <f t="shared" si="53"/>
        <v>2.4119700000000002</v>
      </c>
      <c r="I96" s="276">
        <f t="shared" si="35"/>
        <v>1.3937032979786059</v>
      </c>
      <c r="J96" s="276"/>
      <c r="K96" s="199">
        <f t="shared" si="55"/>
        <v>5.0000000000000001E-3</v>
      </c>
      <c r="L96" s="288" t="e">
        <f t="shared" si="37"/>
        <v>#DIV/0!</v>
      </c>
      <c r="M96" s="286" t="e">
        <f>0.01*FORMAT_HAR_V!BV38*C96*1000</f>
        <v>#DIV/0!</v>
      </c>
      <c r="N96" s="231" t="e">
        <f t="shared" si="38"/>
        <v>#DIV/0!</v>
      </c>
      <c r="O96" s="199">
        <f t="shared" si="54"/>
        <v>2.4119700000000002</v>
      </c>
      <c r="P96" s="276">
        <f t="shared" si="39"/>
        <v>1.3937032979786059</v>
      </c>
      <c r="Q96" s="276"/>
      <c r="R96" s="199">
        <f t="shared" si="56"/>
        <v>5.0000000000000001E-3</v>
      </c>
      <c r="S96" s="288" t="e">
        <f t="shared" si="41"/>
        <v>#DIV/0!</v>
      </c>
      <c r="T96" s="541" t="e">
        <f t="shared" si="42"/>
        <v>#DIV/0!</v>
      </c>
      <c r="U96" s="312">
        <f t="shared" si="43"/>
        <v>2.35</v>
      </c>
      <c r="V96" s="458">
        <f>0.0005*57.735*1000</f>
        <v>28.8675</v>
      </c>
      <c r="W96" s="319" t="e">
        <f t="shared" si="45"/>
        <v>#DIV/0!</v>
      </c>
      <c r="X96" s="467" t="e">
        <f t="shared" si="46"/>
        <v>#DIV/0!</v>
      </c>
      <c r="Y96" s="463" t="e">
        <f t="shared" si="47"/>
        <v>#DIV/0!</v>
      </c>
      <c r="Z96" s="316" t="e">
        <f t="shared" si="48"/>
        <v>#DIV/0!</v>
      </c>
    </row>
    <row r="97" spans="1:26" ht="12.9" customHeight="1">
      <c r="A97" s="116">
        <f t="shared" si="33"/>
        <v>1750</v>
      </c>
      <c r="B97" s="50">
        <v>35</v>
      </c>
      <c r="C97" s="48">
        <f>FORMAT_HAR_V!C39</f>
        <v>0.56000000000000005</v>
      </c>
      <c r="D97" s="518" t="e">
        <f>FORMAT_HAR_V!BY39</f>
        <v>#DIV/0!</v>
      </c>
      <c r="E97" s="381" t="e">
        <f>FORMAT_HAR_V!CB39</f>
        <v>#DIV/0!</v>
      </c>
      <c r="F97" s="286" t="e">
        <f>0.01*FORMAT_HAR_V!AL39*C97*1000</f>
        <v>#DIV/0!</v>
      </c>
      <c r="G97" s="231" t="e">
        <f t="shared" si="34"/>
        <v>#DIV/0!</v>
      </c>
      <c r="H97" s="199">
        <f t="shared" si="53"/>
        <v>2.4525600000000005</v>
      </c>
      <c r="I97" s="276">
        <f t="shared" si="35"/>
        <v>1.6605826529106793</v>
      </c>
      <c r="J97" s="276"/>
      <c r="K97" s="199">
        <f t="shared" si="55"/>
        <v>5.0000000000000001E-3</v>
      </c>
      <c r="L97" s="288" t="e">
        <f t="shared" si="37"/>
        <v>#DIV/0!</v>
      </c>
      <c r="M97" s="286" t="e">
        <f>0.01*FORMAT_HAR_V!BV39*C97*1000</f>
        <v>#DIV/0!</v>
      </c>
      <c r="N97" s="231" t="e">
        <f t="shared" si="38"/>
        <v>#DIV/0!</v>
      </c>
      <c r="O97" s="199">
        <f t="shared" si="54"/>
        <v>2.4525600000000005</v>
      </c>
      <c r="P97" s="276">
        <f t="shared" si="39"/>
        <v>1.6605826529106793</v>
      </c>
      <c r="Q97" s="276"/>
      <c r="R97" s="199">
        <f t="shared" si="56"/>
        <v>5.0000000000000001E-3</v>
      </c>
      <c r="S97" s="288" t="e">
        <f t="shared" si="41"/>
        <v>#DIV/0!</v>
      </c>
      <c r="T97" s="541" t="e">
        <f t="shared" si="42"/>
        <v>#DIV/0!</v>
      </c>
      <c r="U97" s="312">
        <f t="shared" si="43"/>
        <v>2.8000000000000003</v>
      </c>
      <c r="V97" s="458">
        <f t="shared" ref="V97:V102" si="57">0.0005*57.735*1000</f>
        <v>28.8675</v>
      </c>
      <c r="W97" s="319" t="e">
        <f t="shared" si="45"/>
        <v>#DIV/0!</v>
      </c>
      <c r="X97" s="467" t="e">
        <f t="shared" si="46"/>
        <v>#DIV/0!</v>
      </c>
      <c r="Y97" s="463" t="e">
        <f t="shared" si="47"/>
        <v>#DIV/0!</v>
      </c>
      <c r="Z97" s="316" t="e">
        <f t="shared" si="48"/>
        <v>#DIV/0!</v>
      </c>
    </row>
    <row r="98" spans="1:26" ht="12.9" customHeight="1">
      <c r="A98" s="116">
        <f t="shared" si="33"/>
        <v>1800</v>
      </c>
      <c r="B98" s="50">
        <v>36</v>
      </c>
      <c r="C98" s="48">
        <f>FORMAT_HAR_V!C40</f>
        <v>0.44400000000000001</v>
      </c>
      <c r="D98" s="518" t="e">
        <f>FORMAT_HAR_V!BY40</f>
        <v>#DIV/0!</v>
      </c>
      <c r="E98" s="381" t="e">
        <f>FORMAT_HAR_V!CB40</f>
        <v>#DIV/0!</v>
      </c>
      <c r="F98" s="286" t="e">
        <f>0.01*FORMAT_HAR_V!AL40*C98*1000</f>
        <v>#DIV/0!</v>
      </c>
      <c r="G98" s="231" t="e">
        <f t="shared" si="34"/>
        <v>#DIV/0!</v>
      </c>
      <c r="H98" s="199">
        <f t="shared" si="53"/>
        <v>2.4002440000000003</v>
      </c>
      <c r="I98" s="276">
        <f t="shared" si="35"/>
        <v>1.3166048176648957</v>
      </c>
      <c r="J98" s="276"/>
      <c r="K98" s="199">
        <f t="shared" si="55"/>
        <v>5.0000000000000001E-3</v>
      </c>
      <c r="L98" s="288" t="e">
        <f t="shared" si="37"/>
        <v>#DIV/0!</v>
      </c>
      <c r="M98" s="286" t="e">
        <f>0.01*FORMAT_HAR_V!BV40*C98*1000</f>
        <v>#DIV/0!</v>
      </c>
      <c r="N98" s="231" t="e">
        <f t="shared" si="38"/>
        <v>#DIV/0!</v>
      </c>
      <c r="O98" s="199">
        <f t="shared" si="54"/>
        <v>2.4002440000000003</v>
      </c>
      <c r="P98" s="276">
        <f t="shared" si="39"/>
        <v>1.3166048176648957</v>
      </c>
      <c r="Q98" s="276"/>
      <c r="R98" s="199">
        <f t="shared" si="56"/>
        <v>5.0000000000000001E-3</v>
      </c>
      <c r="S98" s="288" t="e">
        <f t="shared" si="41"/>
        <v>#DIV/0!</v>
      </c>
      <c r="T98" s="541" t="e">
        <f t="shared" si="42"/>
        <v>#DIV/0!</v>
      </c>
      <c r="U98" s="312">
        <f t="shared" si="43"/>
        <v>2.2200000000000002</v>
      </c>
      <c r="V98" s="458">
        <f t="shared" si="57"/>
        <v>28.8675</v>
      </c>
      <c r="W98" s="319" t="e">
        <f t="shared" si="45"/>
        <v>#DIV/0!</v>
      </c>
      <c r="X98" s="467" t="e">
        <f t="shared" si="46"/>
        <v>#DIV/0!</v>
      </c>
      <c r="Y98" s="463" t="e">
        <f t="shared" si="47"/>
        <v>#DIV/0!</v>
      </c>
      <c r="Z98" s="316" t="e">
        <f t="shared" si="48"/>
        <v>#DIV/0!</v>
      </c>
    </row>
    <row r="99" spans="1:26" ht="12.9" customHeight="1">
      <c r="A99" s="116">
        <f t="shared" si="33"/>
        <v>1850</v>
      </c>
      <c r="B99" s="50">
        <v>37</v>
      </c>
      <c r="C99" s="48">
        <f>FORMAT_HAR_V!C41</f>
        <v>0.52800000000000002</v>
      </c>
      <c r="D99" s="518" t="e">
        <f>FORMAT_HAR_V!BY41</f>
        <v>#DIV/0!</v>
      </c>
      <c r="E99" s="381" t="e">
        <f>FORMAT_HAR_V!CB41</f>
        <v>#DIV/0!</v>
      </c>
      <c r="F99" s="286" t="e">
        <f>0.01*FORMAT_HAR_V!AL41*C99*1000</f>
        <v>#DIV/0!</v>
      </c>
      <c r="G99" s="231" t="e">
        <f t="shared" si="34"/>
        <v>#DIV/0!</v>
      </c>
      <c r="H99" s="199">
        <f t="shared" si="53"/>
        <v>2.4381280000000003</v>
      </c>
      <c r="I99" s="276">
        <f t="shared" si="35"/>
        <v>1.5656922156014978</v>
      </c>
      <c r="J99" s="276"/>
      <c r="K99" s="199">
        <f t="shared" si="55"/>
        <v>5.0000000000000001E-3</v>
      </c>
      <c r="L99" s="288" t="e">
        <f t="shared" si="37"/>
        <v>#DIV/0!</v>
      </c>
      <c r="M99" s="286" t="e">
        <f>0.01*FORMAT_HAR_V!BV41*C99*1000</f>
        <v>#DIV/0!</v>
      </c>
      <c r="N99" s="231" t="e">
        <f t="shared" si="38"/>
        <v>#DIV/0!</v>
      </c>
      <c r="O99" s="199">
        <f t="shared" si="54"/>
        <v>2.4381280000000003</v>
      </c>
      <c r="P99" s="276">
        <f t="shared" si="39"/>
        <v>1.5656922156014978</v>
      </c>
      <c r="Q99" s="276"/>
      <c r="R99" s="199">
        <f t="shared" si="56"/>
        <v>5.0000000000000001E-3</v>
      </c>
      <c r="S99" s="288" t="e">
        <f t="shared" si="41"/>
        <v>#DIV/0!</v>
      </c>
      <c r="T99" s="541" t="e">
        <f t="shared" si="42"/>
        <v>#DIV/0!</v>
      </c>
      <c r="U99" s="312">
        <f t="shared" si="43"/>
        <v>2.64</v>
      </c>
      <c r="V99" s="458">
        <f t="shared" si="57"/>
        <v>28.8675</v>
      </c>
      <c r="W99" s="319" t="e">
        <f t="shared" si="45"/>
        <v>#DIV/0!</v>
      </c>
      <c r="X99" s="467" t="e">
        <f t="shared" si="46"/>
        <v>#DIV/0!</v>
      </c>
      <c r="Y99" s="463" t="e">
        <f t="shared" si="47"/>
        <v>#DIV/0!</v>
      </c>
      <c r="Z99" s="316" t="e">
        <f t="shared" si="48"/>
        <v>#DIV/0!</v>
      </c>
    </row>
    <row r="100" spans="1:26" ht="12.9" customHeight="1">
      <c r="A100" s="116">
        <f t="shared" si="33"/>
        <v>1900</v>
      </c>
      <c r="B100" s="50">
        <v>38</v>
      </c>
      <c r="C100" s="48">
        <f>FORMAT_HAR_V!C42</f>
        <v>0.42199999999999999</v>
      </c>
      <c r="D100" s="518" t="e">
        <f>FORMAT_HAR_V!BY42</f>
        <v>#DIV/0!</v>
      </c>
      <c r="E100" s="381" t="e">
        <f>FORMAT_HAR_V!CB42</f>
        <v>#DIV/0!</v>
      </c>
      <c r="F100" s="286" t="e">
        <f>0.01*FORMAT_HAR_V!AL42*C100*1000</f>
        <v>#DIV/0!</v>
      </c>
      <c r="G100" s="231" t="e">
        <f t="shared" si="34"/>
        <v>#DIV/0!</v>
      </c>
      <c r="H100" s="199">
        <f t="shared" si="53"/>
        <v>2.3903220000000003</v>
      </c>
      <c r="I100" s="276">
        <f t="shared" si="35"/>
        <v>1.2513676420148334</v>
      </c>
      <c r="J100" s="276"/>
      <c r="K100" s="199">
        <f t="shared" si="55"/>
        <v>5.0000000000000001E-3</v>
      </c>
      <c r="L100" s="288" t="e">
        <f t="shared" si="37"/>
        <v>#DIV/0!</v>
      </c>
      <c r="M100" s="286" t="e">
        <f>0.01*FORMAT_HAR_V!BV42*C100*1000</f>
        <v>#DIV/0!</v>
      </c>
      <c r="N100" s="231" t="e">
        <f t="shared" si="38"/>
        <v>#DIV/0!</v>
      </c>
      <c r="O100" s="199">
        <f t="shared" si="54"/>
        <v>2.3903220000000003</v>
      </c>
      <c r="P100" s="276">
        <f t="shared" si="39"/>
        <v>1.2513676420148334</v>
      </c>
      <c r="Q100" s="276"/>
      <c r="R100" s="199">
        <f t="shared" si="56"/>
        <v>5.0000000000000001E-3</v>
      </c>
      <c r="S100" s="288" t="e">
        <f t="shared" si="41"/>
        <v>#DIV/0!</v>
      </c>
      <c r="T100" s="541" t="e">
        <f t="shared" si="42"/>
        <v>#DIV/0!</v>
      </c>
      <c r="U100" s="312">
        <f t="shared" si="43"/>
        <v>2.11</v>
      </c>
      <c r="V100" s="458">
        <f t="shared" si="57"/>
        <v>28.8675</v>
      </c>
      <c r="W100" s="319" t="e">
        <f t="shared" si="45"/>
        <v>#DIV/0!</v>
      </c>
      <c r="X100" s="467" t="e">
        <f t="shared" si="46"/>
        <v>#DIV/0!</v>
      </c>
      <c r="Y100" s="463" t="e">
        <f t="shared" si="47"/>
        <v>#DIV/0!</v>
      </c>
      <c r="Z100" s="316" t="e">
        <f t="shared" si="48"/>
        <v>#DIV/0!</v>
      </c>
    </row>
    <row r="101" spans="1:26" ht="12.9" customHeight="1">
      <c r="A101" s="346">
        <f t="shared" si="33"/>
        <v>1950</v>
      </c>
      <c r="B101" s="347">
        <v>39</v>
      </c>
      <c r="C101" s="48">
        <f>FORMAT_HAR_V!C43</f>
        <v>0.502</v>
      </c>
      <c r="D101" s="518" t="e">
        <f>FORMAT_HAR_V!BY43</f>
        <v>#DIV/0!</v>
      </c>
      <c r="E101" s="381" t="e">
        <f>FORMAT_HAR_V!CB43</f>
        <v>#DIV/0!</v>
      </c>
      <c r="F101" s="357" t="e">
        <f>0.01*FORMAT_HAR_V!AL43*C101*1000</f>
        <v>#DIV/0!</v>
      </c>
      <c r="G101" s="349" t="e">
        <f t="shared" si="34"/>
        <v>#DIV/0!</v>
      </c>
      <c r="H101" s="360">
        <f t="shared" si="53"/>
        <v>2.4264020000000004</v>
      </c>
      <c r="I101" s="276">
        <f t="shared" si="35"/>
        <v>1.4885937352877876</v>
      </c>
      <c r="J101" s="350"/>
      <c r="K101" s="351">
        <f t="shared" si="55"/>
        <v>5.0000000000000001E-3</v>
      </c>
      <c r="L101" s="288" t="e">
        <f t="shared" si="37"/>
        <v>#DIV/0!</v>
      </c>
      <c r="M101" s="357" t="e">
        <f>0.01*FORMAT_HAR_V!BV43*C101*1000</f>
        <v>#DIV/0!</v>
      </c>
      <c r="N101" s="349" t="e">
        <f t="shared" si="38"/>
        <v>#DIV/0!</v>
      </c>
      <c r="O101" s="351">
        <f t="shared" si="54"/>
        <v>2.4264020000000004</v>
      </c>
      <c r="P101" s="276">
        <f t="shared" si="39"/>
        <v>1.4885937352877876</v>
      </c>
      <c r="Q101" s="350"/>
      <c r="R101" s="351">
        <f t="shared" si="56"/>
        <v>5.0000000000000001E-3</v>
      </c>
      <c r="S101" s="288" t="e">
        <f t="shared" si="41"/>
        <v>#DIV/0!</v>
      </c>
      <c r="T101" s="541" t="e">
        <f t="shared" si="42"/>
        <v>#DIV/0!</v>
      </c>
      <c r="U101" s="312">
        <f t="shared" si="43"/>
        <v>2.5100000000000002</v>
      </c>
      <c r="V101" s="458">
        <f t="shared" si="57"/>
        <v>28.8675</v>
      </c>
      <c r="W101" s="319" t="e">
        <f t="shared" si="45"/>
        <v>#DIV/0!</v>
      </c>
      <c r="X101" s="467" t="e">
        <f t="shared" si="46"/>
        <v>#DIV/0!</v>
      </c>
      <c r="Y101" s="463" t="e">
        <f t="shared" si="47"/>
        <v>#DIV/0!</v>
      </c>
      <c r="Z101" s="316" t="e">
        <f t="shared" si="48"/>
        <v>#DIV/0!</v>
      </c>
    </row>
    <row r="102" spans="1:26" ht="12.9" customHeight="1" thickBot="1">
      <c r="A102" s="120">
        <f t="shared" si="33"/>
        <v>2000</v>
      </c>
      <c r="B102" s="51">
        <v>40</v>
      </c>
      <c r="C102" s="49">
        <f>FORMAT_HAR_V!C44</f>
        <v>0.4</v>
      </c>
      <c r="D102" s="519" t="e">
        <f>FORMAT_HAR_V!BY44</f>
        <v>#DIV/0!</v>
      </c>
      <c r="E102" s="382" t="e">
        <f>FORMAT_HAR_V!CB44</f>
        <v>#DIV/0!</v>
      </c>
      <c r="F102" s="233" t="e">
        <f>0.01*FORMAT_HAR_V!AL44*C102*1000</f>
        <v>#DIV/0!</v>
      </c>
      <c r="G102" s="212" t="e">
        <f t="shared" si="34"/>
        <v>#DIV/0!</v>
      </c>
      <c r="H102" s="211">
        <f t="shared" si="53"/>
        <v>2.3803999999999998</v>
      </c>
      <c r="I102" s="278">
        <f t="shared" si="35"/>
        <v>1.1861304663647709</v>
      </c>
      <c r="J102" s="278"/>
      <c r="K102" s="211">
        <f t="shared" si="55"/>
        <v>5.0000000000000001E-3</v>
      </c>
      <c r="L102" s="376" t="e">
        <f t="shared" si="37"/>
        <v>#DIV/0!</v>
      </c>
      <c r="M102" s="233" t="e">
        <f>0.01*FORMAT_HAR_V!BV44*C102*1000</f>
        <v>#DIV/0!</v>
      </c>
      <c r="N102" s="212" t="e">
        <f t="shared" si="38"/>
        <v>#DIV/0!</v>
      </c>
      <c r="O102" s="211">
        <f t="shared" si="54"/>
        <v>2.3803999999999998</v>
      </c>
      <c r="P102" s="278">
        <f t="shared" si="39"/>
        <v>1.1861304663647709</v>
      </c>
      <c r="Q102" s="278"/>
      <c r="R102" s="211">
        <f t="shared" si="56"/>
        <v>5.0000000000000001E-3</v>
      </c>
      <c r="S102" s="376" t="e">
        <f t="shared" si="41"/>
        <v>#DIV/0!</v>
      </c>
      <c r="T102" s="542" t="e">
        <f t="shared" si="42"/>
        <v>#DIV/0!</v>
      </c>
      <c r="U102" s="313">
        <f t="shared" si="43"/>
        <v>2</v>
      </c>
      <c r="V102" s="462">
        <f t="shared" si="57"/>
        <v>28.8675</v>
      </c>
      <c r="W102" s="320" t="e">
        <f t="shared" si="45"/>
        <v>#DIV/0!</v>
      </c>
      <c r="X102" s="468" t="e">
        <f t="shared" si="46"/>
        <v>#DIV/0!</v>
      </c>
      <c r="Y102" s="464" t="e">
        <f t="shared" si="47"/>
        <v>#DIV/0!</v>
      </c>
      <c r="Z102" s="317" t="e">
        <f t="shared" si="48"/>
        <v>#DIV/0!</v>
      </c>
    </row>
    <row r="103" spans="1:26" ht="12.9" customHeight="1">
      <c r="A103" s="116">
        <f t="shared" si="33"/>
        <v>2050</v>
      </c>
      <c r="B103" s="50">
        <v>41</v>
      </c>
      <c r="C103" s="48">
        <f>FORMAT_HAR_V!C45</f>
        <v>0.2</v>
      </c>
      <c r="D103" s="522" t="e">
        <f>FORMAT_HAR_V!BY45</f>
        <v>#DIV/0!</v>
      </c>
      <c r="E103" s="386" t="e">
        <f>FORMAT_HAR_V!CB45</f>
        <v>#DIV/0!</v>
      </c>
      <c r="F103" s="286" t="e">
        <f>0.01*FORMAT_HAR_V!AL45*C103*1000</f>
        <v>#DIV/0!</v>
      </c>
      <c r="G103" s="231" t="e">
        <f t="shared" si="34"/>
        <v>#DIV/0!</v>
      </c>
      <c r="H103" s="199">
        <f t="shared" si="53"/>
        <v>2.2902</v>
      </c>
      <c r="I103" s="276">
        <f t="shared" ref="I103:I112" si="58">1000*C103*$H$116*0.01</f>
        <v>0.24529738195587325</v>
      </c>
      <c r="J103" s="276"/>
      <c r="K103" s="199">
        <f t="shared" si="55"/>
        <v>5.0000000000000001E-3</v>
      </c>
      <c r="L103" s="289" t="e">
        <f t="shared" ref="L103:L112" si="59">2*(G103^2+I103^2/4+J103^2/3+K103^2/3)^0.5</f>
        <v>#DIV/0!</v>
      </c>
      <c r="M103" s="286" t="e">
        <f>0.01*FORMAT_HAR_V!BV45*C103*1000</f>
        <v>#DIV/0!</v>
      </c>
      <c r="N103" s="231" t="e">
        <f t="shared" si="38"/>
        <v>#DIV/0!</v>
      </c>
      <c r="O103" s="199">
        <f t="shared" si="54"/>
        <v>2.2902</v>
      </c>
      <c r="P103" s="276">
        <f t="shared" ref="P103:P112" si="60">1000*C103*$O$116*0.01</f>
        <v>0.24529738195587325</v>
      </c>
      <c r="Q103" s="276"/>
      <c r="R103" s="199">
        <f t="shared" si="56"/>
        <v>5.0000000000000001E-3</v>
      </c>
      <c r="S103" s="289" t="e">
        <f t="shared" ref="S103:S112" si="61">2*(N103^2+P103^2/4+Q103^2/3+R103^2/3)^0.5</f>
        <v>#DIV/0!</v>
      </c>
      <c r="T103" s="530" t="e">
        <f t="shared" si="42"/>
        <v>#DIV/0!</v>
      </c>
      <c r="U103" s="370">
        <f t="shared" si="43"/>
        <v>1</v>
      </c>
      <c r="V103" s="461">
        <f t="shared" ref="V103:V112" si="62">0.0005*57.735*1000</f>
        <v>28.8675</v>
      </c>
      <c r="W103" s="456" t="e">
        <f t="shared" si="45"/>
        <v>#DIV/0!</v>
      </c>
      <c r="X103" s="469" t="e">
        <f t="shared" si="46"/>
        <v>#DIV/0!</v>
      </c>
      <c r="Y103" s="465" t="e">
        <f t="shared" si="47"/>
        <v>#DIV/0!</v>
      </c>
      <c r="Z103" s="362" t="e">
        <f t="shared" si="48"/>
        <v>#DIV/0!</v>
      </c>
    </row>
    <row r="104" spans="1:26" ht="12.9" customHeight="1">
      <c r="A104" s="116">
        <f t="shared" si="33"/>
        <v>2100</v>
      </c>
      <c r="B104" s="50">
        <v>42</v>
      </c>
      <c r="C104" s="48">
        <f>FORMAT_HAR_V!C46</f>
        <v>0.2</v>
      </c>
      <c r="D104" s="522" t="e">
        <f>FORMAT_HAR_V!BY46</f>
        <v>#DIV/0!</v>
      </c>
      <c r="E104" s="386" t="e">
        <f>FORMAT_HAR_V!CB46</f>
        <v>#DIV/0!</v>
      </c>
      <c r="F104" s="286" t="e">
        <f>0.01*FORMAT_HAR_V!AL46*C104*1000</f>
        <v>#DIV/0!</v>
      </c>
      <c r="G104" s="231" t="e">
        <f t="shared" si="34"/>
        <v>#DIV/0!</v>
      </c>
      <c r="H104" s="199">
        <f>1000*(0.000451*C104+0.0022)</f>
        <v>2.2902</v>
      </c>
      <c r="I104" s="276">
        <f t="shared" si="58"/>
        <v>0.24529738195587325</v>
      </c>
      <c r="J104" s="276"/>
      <c r="K104" s="199">
        <f t="shared" si="55"/>
        <v>5.0000000000000001E-3</v>
      </c>
      <c r="L104" s="289" t="e">
        <f t="shared" si="59"/>
        <v>#DIV/0!</v>
      </c>
      <c r="M104" s="286" t="e">
        <f>0.01*FORMAT_HAR_V!BV46*C104*1000</f>
        <v>#DIV/0!</v>
      </c>
      <c r="N104" s="231" t="e">
        <f t="shared" si="38"/>
        <v>#DIV/0!</v>
      </c>
      <c r="O104" s="199">
        <f t="shared" si="54"/>
        <v>2.2902</v>
      </c>
      <c r="P104" s="276">
        <f t="shared" si="60"/>
        <v>0.24529738195587325</v>
      </c>
      <c r="Q104" s="276"/>
      <c r="R104" s="199">
        <f t="shared" si="56"/>
        <v>5.0000000000000001E-3</v>
      </c>
      <c r="S104" s="289" t="e">
        <f t="shared" si="61"/>
        <v>#DIV/0!</v>
      </c>
      <c r="T104" s="541" t="e">
        <f t="shared" si="42"/>
        <v>#DIV/0!</v>
      </c>
      <c r="U104" s="312">
        <f t="shared" si="43"/>
        <v>1</v>
      </c>
      <c r="V104" s="458">
        <f t="shared" si="62"/>
        <v>28.8675</v>
      </c>
      <c r="W104" s="319" t="e">
        <f t="shared" si="45"/>
        <v>#DIV/0!</v>
      </c>
      <c r="X104" s="467" t="e">
        <f t="shared" si="46"/>
        <v>#DIV/0!</v>
      </c>
      <c r="Y104" s="463" t="e">
        <f t="shared" si="47"/>
        <v>#DIV/0!</v>
      </c>
      <c r="Z104" s="316" t="e">
        <f t="shared" si="48"/>
        <v>#DIV/0!</v>
      </c>
    </row>
    <row r="105" spans="1:26" ht="12.9" customHeight="1">
      <c r="A105" s="116">
        <f t="shared" si="33"/>
        <v>2150</v>
      </c>
      <c r="B105" s="50">
        <v>43</v>
      </c>
      <c r="C105" s="48">
        <f>FORMAT_HAR_V!C47</f>
        <v>0.2</v>
      </c>
      <c r="D105" s="522" t="e">
        <f>FORMAT_HAR_V!BY47</f>
        <v>#DIV/0!</v>
      </c>
      <c r="E105" s="386" t="e">
        <f>FORMAT_HAR_V!CB47</f>
        <v>#DIV/0!</v>
      </c>
      <c r="F105" s="286" t="e">
        <f>0.01*FORMAT_HAR_V!AL47*C105*1000</f>
        <v>#DIV/0!</v>
      </c>
      <c r="G105" s="231" t="e">
        <f t="shared" si="34"/>
        <v>#DIV/0!</v>
      </c>
      <c r="H105" s="199">
        <f t="shared" si="53"/>
        <v>2.2902</v>
      </c>
      <c r="I105" s="276">
        <f t="shared" si="58"/>
        <v>0.24529738195587325</v>
      </c>
      <c r="J105" s="276"/>
      <c r="K105" s="199">
        <f t="shared" si="55"/>
        <v>5.0000000000000001E-3</v>
      </c>
      <c r="L105" s="289" t="e">
        <f t="shared" si="59"/>
        <v>#DIV/0!</v>
      </c>
      <c r="M105" s="286" t="e">
        <f>0.01*FORMAT_HAR_V!BV47*C105*1000</f>
        <v>#DIV/0!</v>
      </c>
      <c r="N105" s="231" t="e">
        <f t="shared" si="38"/>
        <v>#DIV/0!</v>
      </c>
      <c r="O105" s="199">
        <f t="shared" si="54"/>
        <v>2.2902</v>
      </c>
      <c r="P105" s="276">
        <f t="shared" si="60"/>
        <v>0.24529738195587325</v>
      </c>
      <c r="Q105" s="276"/>
      <c r="R105" s="199">
        <f t="shared" si="56"/>
        <v>5.0000000000000001E-3</v>
      </c>
      <c r="S105" s="289" t="e">
        <f t="shared" si="61"/>
        <v>#DIV/0!</v>
      </c>
      <c r="T105" s="541" t="e">
        <f t="shared" si="42"/>
        <v>#DIV/0!</v>
      </c>
      <c r="U105" s="312">
        <f t="shared" si="43"/>
        <v>1</v>
      </c>
      <c r="V105" s="458">
        <f t="shared" si="62"/>
        <v>28.8675</v>
      </c>
      <c r="W105" s="319" t="e">
        <f t="shared" si="45"/>
        <v>#DIV/0!</v>
      </c>
      <c r="X105" s="467" t="e">
        <f t="shared" si="46"/>
        <v>#DIV/0!</v>
      </c>
      <c r="Y105" s="463" t="e">
        <f t="shared" si="47"/>
        <v>#DIV/0!</v>
      </c>
      <c r="Z105" s="316" t="e">
        <f t="shared" si="48"/>
        <v>#DIV/0!</v>
      </c>
    </row>
    <row r="106" spans="1:26" ht="12.9" customHeight="1">
      <c r="A106" s="116">
        <f t="shared" si="33"/>
        <v>2200</v>
      </c>
      <c r="B106" s="50">
        <v>44</v>
      </c>
      <c r="C106" s="48">
        <f>FORMAT_HAR_V!C48</f>
        <v>0.2</v>
      </c>
      <c r="D106" s="522" t="e">
        <f>FORMAT_HAR_V!BY48</f>
        <v>#DIV/0!</v>
      </c>
      <c r="E106" s="386" t="e">
        <f>FORMAT_HAR_V!CB48</f>
        <v>#DIV/0!</v>
      </c>
      <c r="F106" s="286" t="e">
        <f>0.01*FORMAT_HAR_V!AL48*C106*1000</f>
        <v>#DIV/0!</v>
      </c>
      <c r="G106" s="231" t="e">
        <f t="shared" si="34"/>
        <v>#DIV/0!</v>
      </c>
      <c r="H106" s="199">
        <f t="shared" si="53"/>
        <v>2.2902</v>
      </c>
      <c r="I106" s="276">
        <f t="shared" si="58"/>
        <v>0.24529738195587325</v>
      </c>
      <c r="J106" s="276"/>
      <c r="K106" s="199">
        <f t="shared" si="55"/>
        <v>5.0000000000000001E-3</v>
      </c>
      <c r="L106" s="289" t="e">
        <f t="shared" si="59"/>
        <v>#DIV/0!</v>
      </c>
      <c r="M106" s="286" t="e">
        <f>0.01*FORMAT_HAR_V!BV48*C106*1000</f>
        <v>#DIV/0!</v>
      </c>
      <c r="N106" s="231" t="e">
        <f t="shared" si="38"/>
        <v>#DIV/0!</v>
      </c>
      <c r="O106" s="199">
        <f t="shared" si="54"/>
        <v>2.2902</v>
      </c>
      <c r="P106" s="276">
        <f t="shared" si="60"/>
        <v>0.24529738195587325</v>
      </c>
      <c r="Q106" s="276"/>
      <c r="R106" s="199">
        <f t="shared" si="56"/>
        <v>5.0000000000000001E-3</v>
      </c>
      <c r="S106" s="289" t="e">
        <f t="shared" si="61"/>
        <v>#DIV/0!</v>
      </c>
      <c r="T106" s="541" t="e">
        <f t="shared" si="42"/>
        <v>#DIV/0!</v>
      </c>
      <c r="U106" s="312">
        <f t="shared" si="43"/>
        <v>1</v>
      </c>
      <c r="V106" s="458">
        <f t="shared" si="62"/>
        <v>28.8675</v>
      </c>
      <c r="W106" s="319" t="e">
        <f t="shared" si="45"/>
        <v>#DIV/0!</v>
      </c>
      <c r="X106" s="467" t="e">
        <f t="shared" si="46"/>
        <v>#DIV/0!</v>
      </c>
      <c r="Y106" s="463" t="e">
        <f t="shared" si="47"/>
        <v>#DIV/0!</v>
      </c>
      <c r="Z106" s="316" t="e">
        <f t="shared" si="48"/>
        <v>#DIV/0!</v>
      </c>
    </row>
    <row r="107" spans="1:26" ht="12.9" customHeight="1">
      <c r="A107" s="116">
        <f t="shared" si="33"/>
        <v>2250</v>
      </c>
      <c r="B107" s="50">
        <v>45</v>
      </c>
      <c r="C107" s="48">
        <f>FORMAT_HAR_V!C49</f>
        <v>0.2</v>
      </c>
      <c r="D107" s="522" t="e">
        <f>FORMAT_HAR_V!BY49</f>
        <v>#DIV/0!</v>
      </c>
      <c r="E107" s="386" t="e">
        <f>FORMAT_HAR_V!CB49</f>
        <v>#DIV/0!</v>
      </c>
      <c r="F107" s="286" t="e">
        <f>0.01*FORMAT_HAR_V!AL49*C107*1000</f>
        <v>#DIV/0!</v>
      </c>
      <c r="G107" s="231" t="e">
        <f t="shared" si="34"/>
        <v>#DIV/0!</v>
      </c>
      <c r="H107" s="199">
        <f t="shared" si="53"/>
        <v>2.2902</v>
      </c>
      <c r="I107" s="276">
        <f t="shared" si="58"/>
        <v>0.24529738195587325</v>
      </c>
      <c r="J107" s="276"/>
      <c r="K107" s="199">
        <f t="shared" si="55"/>
        <v>5.0000000000000001E-3</v>
      </c>
      <c r="L107" s="289" t="e">
        <f t="shared" si="59"/>
        <v>#DIV/0!</v>
      </c>
      <c r="M107" s="286" t="e">
        <f>0.01*FORMAT_HAR_V!BV49*C107*1000</f>
        <v>#DIV/0!</v>
      </c>
      <c r="N107" s="231" t="e">
        <f t="shared" si="38"/>
        <v>#DIV/0!</v>
      </c>
      <c r="O107" s="199">
        <f t="shared" si="54"/>
        <v>2.2902</v>
      </c>
      <c r="P107" s="276">
        <f t="shared" si="60"/>
        <v>0.24529738195587325</v>
      </c>
      <c r="Q107" s="276"/>
      <c r="R107" s="199">
        <f t="shared" si="56"/>
        <v>5.0000000000000001E-3</v>
      </c>
      <c r="S107" s="289" t="e">
        <f t="shared" si="61"/>
        <v>#DIV/0!</v>
      </c>
      <c r="T107" s="541" t="e">
        <f t="shared" si="42"/>
        <v>#DIV/0!</v>
      </c>
      <c r="U107" s="312">
        <f t="shared" si="43"/>
        <v>1</v>
      </c>
      <c r="V107" s="458">
        <f t="shared" si="62"/>
        <v>28.8675</v>
      </c>
      <c r="W107" s="319" t="e">
        <f t="shared" si="45"/>
        <v>#DIV/0!</v>
      </c>
      <c r="X107" s="467" t="e">
        <f t="shared" si="46"/>
        <v>#DIV/0!</v>
      </c>
      <c r="Y107" s="463" t="e">
        <f t="shared" si="47"/>
        <v>#DIV/0!</v>
      </c>
      <c r="Z107" s="316" t="e">
        <f t="shared" si="48"/>
        <v>#DIV/0!</v>
      </c>
    </row>
    <row r="108" spans="1:26" ht="12.9" customHeight="1">
      <c r="A108" s="116">
        <f t="shared" si="33"/>
        <v>2300</v>
      </c>
      <c r="B108" s="50">
        <v>46</v>
      </c>
      <c r="C108" s="48">
        <f>FORMAT_HAR_V!C50</f>
        <v>0.2</v>
      </c>
      <c r="D108" s="522" t="e">
        <f>FORMAT_HAR_V!BY50</f>
        <v>#DIV/0!</v>
      </c>
      <c r="E108" s="386" t="e">
        <f>FORMAT_HAR_V!CB50</f>
        <v>#DIV/0!</v>
      </c>
      <c r="F108" s="286" t="e">
        <f>0.01*FORMAT_HAR_V!AL50*C108*1000</f>
        <v>#DIV/0!</v>
      </c>
      <c r="G108" s="231" t="e">
        <f t="shared" si="34"/>
        <v>#DIV/0!</v>
      </c>
      <c r="H108" s="199">
        <f t="shared" si="53"/>
        <v>2.2902</v>
      </c>
      <c r="I108" s="276">
        <f t="shared" si="58"/>
        <v>0.24529738195587325</v>
      </c>
      <c r="J108" s="276"/>
      <c r="K108" s="199">
        <f t="shared" si="55"/>
        <v>5.0000000000000001E-3</v>
      </c>
      <c r="L108" s="289" t="e">
        <f t="shared" si="59"/>
        <v>#DIV/0!</v>
      </c>
      <c r="M108" s="286" t="e">
        <f>0.01*FORMAT_HAR_V!BV50*C108*1000</f>
        <v>#DIV/0!</v>
      </c>
      <c r="N108" s="231" t="e">
        <f t="shared" si="38"/>
        <v>#DIV/0!</v>
      </c>
      <c r="O108" s="199">
        <f t="shared" si="54"/>
        <v>2.2902</v>
      </c>
      <c r="P108" s="276">
        <f t="shared" si="60"/>
        <v>0.24529738195587325</v>
      </c>
      <c r="Q108" s="276"/>
      <c r="R108" s="199">
        <f t="shared" si="56"/>
        <v>5.0000000000000001E-3</v>
      </c>
      <c r="S108" s="289" t="e">
        <f t="shared" si="61"/>
        <v>#DIV/0!</v>
      </c>
      <c r="T108" s="541" t="e">
        <f t="shared" si="42"/>
        <v>#DIV/0!</v>
      </c>
      <c r="U108" s="312">
        <f t="shared" si="43"/>
        <v>1</v>
      </c>
      <c r="V108" s="458">
        <f t="shared" si="62"/>
        <v>28.8675</v>
      </c>
      <c r="W108" s="319" t="e">
        <f t="shared" si="45"/>
        <v>#DIV/0!</v>
      </c>
      <c r="X108" s="467" t="e">
        <f t="shared" si="46"/>
        <v>#DIV/0!</v>
      </c>
      <c r="Y108" s="463" t="e">
        <f t="shared" si="47"/>
        <v>#DIV/0!</v>
      </c>
      <c r="Z108" s="316" t="e">
        <f t="shared" si="48"/>
        <v>#DIV/0!</v>
      </c>
    </row>
    <row r="109" spans="1:26" ht="12.9" customHeight="1">
      <c r="A109" s="116">
        <f t="shared" si="33"/>
        <v>2350</v>
      </c>
      <c r="B109" s="50">
        <v>47</v>
      </c>
      <c r="C109" s="48">
        <f>FORMAT_HAR_V!C51</f>
        <v>0.2</v>
      </c>
      <c r="D109" s="522" t="e">
        <f>FORMAT_HAR_V!BY51</f>
        <v>#DIV/0!</v>
      </c>
      <c r="E109" s="386" t="e">
        <f>FORMAT_HAR_V!CB51</f>
        <v>#DIV/0!</v>
      </c>
      <c r="F109" s="286" t="e">
        <f>0.01*FORMAT_HAR_V!AL51*C109*1000</f>
        <v>#DIV/0!</v>
      </c>
      <c r="G109" s="231" t="e">
        <f t="shared" si="34"/>
        <v>#DIV/0!</v>
      </c>
      <c r="H109" s="199">
        <f t="shared" si="53"/>
        <v>2.2902</v>
      </c>
      <c r="I109" s="276">
        <f t="shared" si="58"/>
        <v>0.24529738195587325</v>
      </c>
      <c r="J109" s="276"/>
      <c r="K109" s="199">
        <f t="shared" si="55"/>
        <v>5.0000000000000001E-3</v>
      </c>
      <c r="L109" s="289" t="e">
        <f t="shared" si="59"/>
        <v>#DIV/0!</v>
      </c>
      <c r="M109" s="286" t="e">
        <f>0.01*FORMAT_HAR_V!BV51*C109*1000</f>
        <v>#DIV/0!</v>
      </c>
      <c r="N109" s="231" t="e">
        <f t="shared" si="38"/>
        <v>#DIV/0!</v>
      </c>
      <c r="O109" s="199">
        <f t="shared" si="54"/>
        <v>2.2902</v>
      </c>
      <c r="P109" s="276">
        <f t="shared" si="60"/>
        <v>0.24529738195587325</v>
      </c>
      <c r="Q109" s="276"/>
      <c r="R109" s="199">
        <f t="shared" si="56"/>
        <v>5.0000000000000001E-3</v>
      </c>
      <c r="S109" s="289" t="e">
        <f t="shared" si="61"/>
        <v>#DIV/0!</v>
      </c>
      <c r="T109" s="541" t="e">
        <f t="shared" si="42"/>
        <v>#DIV/0!</v>
      </c>
      <c r="U109" s="312">
        <f t="shared" si="43"/>
        <v>1</v>
      </c>
      <c r="V109" s="458">
        <f t="shared" si="62"/>
        <v>28.8675</v>
      </c>
      <c r="W109" s="319" t="e">
        <f t="shared" si="45"/>
        <v>#DIV/0!</v>
      </c>
      <c r="X109" s="467" t="e">
        <f t="shared" si="46"/>
        <v>#DIV/0!</v>
      </c>
      <c r="Y109" s="463" t="e">
        <f t="shared" si="47"/>
        <v>#DIV/0!</v>
      </c>
      <c r="Z109" s="316" t="e">
        <f t="shared" si="48"/>
        <v>#DIV/0!</v>
      </c>
    </row>
    <row r="110" spans="1:26" ht="12.9" customHeight="1">
      <c r="A110" s="116">
        <f t="shared" si="33"/>
        <v>2400</v>
      </c>
      <c r="B110" s="50">
        <v>48</v>
      </c>
      <c r="C110" s="48">
        <f>FORMAT_HAR_V!C52</f>
        <v>0.2</v>
      </c>
      <c r="D110" s="522" t="e">
        <f>FORMAT_HAR_V!BY52</f>
        <v>#DIV/0!</v>
      </c>
      <c r="E110" s="386" t="e">
        <f>FORMAT_HAR_V!CB52</f>
        <v>#DIV/0!</v>
      </c>
      <c r="F110" s="286" t="e">
        <f>0.01*FORMAT_HAR_V!AL52*C110*1000</f>
        <v>#DIV/0!</v>
      </c>
      <c r="G110" s="231" t="e">
        <f t="shared" si="34"/>
        <v>#DIV/0!</v>
      </c>
      <c r="H110" s="199">
        <f t="shared" si="53"/>
        <v>2.2902</v>
      </c>
      <c r="I110" s="276">
        <f t="shared" si="58"/>
        <v>0.24529738195587325</v>
      </c>
      <c r="J110" s="276"/>
      <c r="K110" s="199">
        <f t="shared" si="55"/>
        <v>5.0000000000000001E-3</v>
      </c>
      <c r="L110" s="289" t="e">
        <f t="shared" si="59"/>
        <v>#DIV/0!</v>
      </c>
      <c r="M110" s="286" t="e">
        <f>0.01*FORMAT_HAR_V!BV52*C110*1000</f>
        <v>#DIV/0!</v>
      </c>
      <c r="N110" s="231" t="e">
        <f t="shared" si="38"/>
        <v>#DIV/0!</v>
      </c>
      <c r="O110" s="199">
        <f t="shared" si="54"/>
        <v>2.2902</v>
      </c>
      <c r="P110" s="276">
        <f t="shared" si="60"/>
        <v>0.24529738195587325</v>
      </c>
      <c r="Q110" s="276"/>
      <c r="R110" s="199">
        <f t="shared" si="56"/>
        <v>5.0000000000000001E-3</v>
      </c>
      <c r="S110" s="289" t="e">
        <f t="shared" si="61"/>
        <v>#DIV/0!</v>
      </c>
      <c r="T110" s="541" t="e">
        <f t="shared" si="42"/>
        <v>#DIV/0!</v>
      </c>
      <c r="U110" s="312">
        <f t="shared" si="43"/>
        <v>1</v>
      </c>
      <c r="V110" s="458">
        <f t="shared" si="62"/>
        <v>28.8675</v>
      </c>
      <c r="W110" s="319" t="e">
        <f t="shared" si="45"/>
        <v>#DIV/0!</v>
      </c>
      <c r="X110" s="467" t="e">
        <f t="shared" si="46"/>
        <v>#DIV/0!</v>
      </c>
      <c r="Y110" s="463" t="e">
        <f t="shared" si="47"/>
        <v>#DIV/0!</v>
      </c>
      <c r="Z110" s="316" t="e">
        <f t="shared" si="48"/>
        <v>#DIV/0!</v>
      </c>
    </row>
    <row r="111" spans="1:26" ht="12.9" customHeight="1">
      <c r="A111" s="116">
        <f t="shared" si="33"/>
        <v>2450</v>
      </c>
      <c r="B111" s="50">
        <v>49</v>
      </c>
      <c r="C111" s="48">
        <f>FORMAT_HAR_V!C53</f>
        <v>0.2</v>
      </c>
      <c r="D111" s="522" t="e">
        <f>FORMAT_HAR_V!BY53</f>
        <v>#DIV/0!</v>
      </c>
      <c r="E111" s="386" t="e">
        <f>FORMAT_HAR_V!CB53</f>
        <v>#DIV/0!</v>
      </c>
      <c r="F111" s="286" t="e">
        <f>0.01*FORMAT_HAR_V!AL53*C111*1000</f>
        <v>#DIV/0!</v>
      </c>
      <c r="G111" s="231" t="e">
        <f t="shared" si="34"/>
        <v>#DIV/0!</v>
      </c>
      <c r="H111" s="199">
        <f t="shared" si="53"/>
        <v>2.2902</v>
      </c>
      <c r="I111" s="276">
        <f t="shared" si="58"/>
        <v>0.24529738195587325</v>
      </c>
      <c r="J111" s="276"/>
      <c r="K111" s="199">
        <f t="shared" si="55"/>
        <v>5.0000000000000001E-3</v>
      </c>
      <c r="L111" s="289" t="e">
        <f t="shared" si="59"/>
        <v>#DIV/0!</v>
      </c>
      <c r="M111" s="286" t="e">
        <f>0.01*FORMAT_HAR_V!BV53*C111*1000</f>
        <v>#DIV/0!</v>
      </c>
      <c r="N111" s="231" t="e">
        <f t="shared" si="38"/>
        <v>#DIV/0!</v>
      </c>
      <c r="O111" s="199">
        <f t="shared" si="54"/>
        <v>2.2902</v>
      </c>
      <c r="P111" s="276">
        <f t="shared" si="60"/>
        <v>0.24529738195587325</v>
      </c>
      <c r="Q111" s="276"/>
      <c r="R111" s="199">
        <f t="shared" si="56"/>
        <v>5.0000000000000001E-3</v>
      </c>
      <c r="S111" s="289" t="e">
        <f t="shared" si="61"/>
        <v>#DIV/0!</v>
      </c>
      <c r="T111" s="541" t="e">
        <f t="shared" si="42"/>
        <v>#DIV/0!</v>
      </c>
      <c r="U111" s="312">
        <f t="shared" si="43"/>
        <v>1</v>
      </c>
      <c r="V111" s="458">
        <f t="shared" si="62"/>
        <v>28.8675</v>
      </c>
      <c r="W111" s="319" t="e">
        <f t="shared" si="45"/>
        <v>#DIV/0!</v>
      </c>
      <c r="X111" s="467" t="e">
        <f t="shared" si="46"/>
        <v>#DIV/0!</v>
      </c>
      <c r="Y111" s="463" t="e">
        <f t="shared" si="47"/>
        <v>#DIV/0!</v>
      </c>
      <c r="Z111" s="316" t="e">
        <f t="shared" si="48"/>
        <v>#DIV/0!</v>
      </c>
    </row>
    <row r="112" spans="1:26" ht="12.9" customHeight="1" thickBot="1">
      <c r="A112" s="371">
        <f t="shared" si="33"/>
        <v>2500</v>
      </c>
      <c r="B112" s="51">
        <v>50</v>
      </c>
      <c r="C112" s="49">
        <f>FORMAT_HAR_V!C54</f>
        <v>0.2</v>
      </c>
      <c r="D112" s="523" t="e">
        <f>FORMAT_HAR_V!BY54</f>
        <v>#DIV/0!</v>
      </c>
      <c r="E112" s="387" t="e">
        <f>FORMAT_HAR_V!CB54</f>
        <v>#DIV/0!</v>
      </c>
      <c r="F112" s="283" t="e">
        <f>0.01*FORMAT_HAR_V!AL54*C112*1000</f>
        <v>#DIV/0!</v>
      </c>
      <c r="G112" s="212" t="e">
        <f t="shared" si="34"/>
        <v>#DIV/0!</v>
      </c>
      <c r="H112" s="211">
        <f t="shared" si="53"/>
        <v>2.2902</v>
      </c>
      <c r="I112" s="359">
        <f t="shared" si="58"/>
        <v>0.24529738195587325</v>
      </c>
      <c r="J112" s="359"/>
      <c r="K112" s="309">
        <f t="shared" si="55"/>
        <v>5.0000000000000001E-3</v>
      </c>
      <c r="L112" s="284" t="e">
        <f t="shared" si="59"/>
        <v>#DIV/0!</v>
      </c>
      <c r="M112" s="283" t="e">
        <f>0.01*FORMAT_HAR_V!BV54*C112*1000</f>
        <v>#DIV/0!</v>
      </c>
      <c r="N112" s="212" t="e">
        <f t="shared" si="38"/>
        <v>#DIV/0!</v>
      </c>
      <c r="O112" s="211">
        <f t="shared" si="54"/>
        <v>2.2902</v>
      </c>
      <c r="P112" s="278">
        <f t="shared" si="60"/>
        <v>0.24529738195587325</v>
      </c>
      <c r="Q112" s="359"/>
      <c r="R112" s="309">
        <f t="shared" si="56"/>
        <v>5.0000000000000001E-3</v>
      </c>
      <c r="S112" s="284" t="e">
        <f t="shared" si="61"/>
        <v>#DIV/0!</v>
      </c>
      <c r="T112" s="542" t="e">
        <f t="shared" si="42"/>
        <v>#DIV/0!</v>
      </c>
      <c r="U112" s="368">
        <f t="shared" si="43"/>
        <v>1</v>
      </c>
      <c r="V112" s="498">
        <f t="shared" si="62"/>
        <v>28.8675</v>
      </c>
      <c r="W112" s="457" t="e">
        <f t="shared" si="45"/>
        <v>#DIV/0!</v>
      </c>
      <c r="X112" s="470" t="e">
        <f t="shared" si="46"/>
        <v>#DIV/0!</v>
      </c>
      <c r="Y112" s="466" t="e">
        <f t="shared" si="47"/>
        <v>#DIV/0!</v>
      </c>
      <c r="Z112" s="369" t="e">
        <f t="shared" si="48"/>
        <v>#DIV/0!</v>
      </c>
    </row>
    <row r="113" spans="1:26" ht="12.9" customHeight="1">
      <c r="C113" s="277">
        <f>(C63^2+C64^2+C65^2+C66^2+C67^2+C68^2+C69^2+C70^2+C71^2+C72^2+C73^2+C74^2+C75^2+C76^2+C77^2+C78^2+C79^2+C80^2+C81^2+C82^2+C83^2+C84^2+C85^2+C86^2+C87^2+C88^2+C89^2+C90^2+C91^2+C92^2+C93^2+C94^2+C95^2+C96^2+C97^2+C98^2+C99^2+C100^2+C101^2+C102^2)^0.5</f>
        <v>33.161369272091271</v>
      </c>
      <c r="F113" s="206" t="s">
        <v>122</v>
      </c>
      <c r="G113" s="279" t="s">
        <v>98</v>
      </c>
      <c r="H113" s="280">
        <f>SUM(H63:H102)</f>
        <v>98.334275999999988</v>
      </c>
      <c r="N113" s="279" t="s">
        <v>98</v>
      </c>
      <c r="O113" s="280">
        <f>SUM(O63:O102)</f>
        <v>98.334275999999988</v>
      </c>
    </row>
    <row r="114" spans="1:26" ht="12.9" customHeight="1">
      <c r="G114" s="208" t="s">
        <v>51</v>
      </c>
      <c r="H114" s="230">
        <f>0.1*H113/$C$113</f>
        <v>0.29653261659119273</v>
      </c>
      <c r="N114" s="208" t="s">
        <v>51</v>
      </c>
      <c r="O114" s="230">
        <f>0.1*O113/$C$113</f>
        <v>0.29653261659119273</v>
      </c>
    </row>
    <row r="115" spans="1:26" ht="12.9" customHeight="1">
      <c r="C115" s="277">
        <f>(C63^2+C103^2+C104^2+C105^2+C106^2+C107^2+C108^2+C109^2+C110^2+C111^2+C112^2)^0.5</f>
        <v>20.009997501249224</v>
      </c>
      <c r="F115" s="206" t="s">
        <v>123</v>
      </c>
      <c r="G115" s="279" t="s">
        <v>98</v>
      </c>
      <c r="H115" s="280">
        <f>SUM(H103:H112)+H63</f>
        <v>24.541999999999998</v>
      </c>
      <c r="N115" s="279" t="s">
        <v>98</v>
      </c>
      <c r="O115" s="280">
        <f>SUM(O103:O112)+O63</f>
        <v>24.541999999999998</v>
      </c>
    </row>
    <row r="116" spans="1:26" ht="12.9" customHeight="1">
      <c r="G116" s="208" t="s">
        <v>51</v>
      </c>
      <c r="H116" s="230">
        <f>0.1*H115/$C$115</f>
        <v>0.12264869097793663</v>
      </c>
      <c r="N116" s="208" t="s">
        <v>51</v>
      </c>
      <c r="O116" s="230">
        <f>0.1*O115/$C$115</f>
        <v>0.12264869097793663</v>
      </c>
    </row>
    <row r="117" spans="1:26" ht="12" thickBot="1"/>
    <row r="118" spans="1:26" s="77" customFormat="1" ht="15.75" customHeight="1" thickBot="1">
      <c r="B118" s="638" t="s">
        <v>57</v>
      </c>
      <c r="C118" s="639"/>
      <c r="D118" s="639"/>
      <c r="E118" s="640"/>
      <c r="F118" s="641" t="s">
        <v>58</v>
      </c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3"/>
    </row>
    <row r="119" spans="1:26" ht="17.25" customHeight="1" thickBot="1">
      <c r="B119" s="644" t="s">
        <v>69</v>
      </c>
      <c r="C119" s="652"/>
      <c r="D119" s="624" t="s">
        <v>77</v>
      </c>
      <c r="E119" s="625"/>
      <c r="F119" s="646" t="s">
        <v>47</v>
      </c>
      <c r="G119" s="647"/>
      <c r="H119" s="647"/>
      <c r="I119" s="647"/>
      <c r="J119" s="647"/>
      <c r="K119" s="647"/>
      <c r="L119" s="648"/>
      <c r="M119" s="653" t="s">
        <v>48</v>
      </c>
      <c r="N119" s="647"/>
      <c r="O119" s="647"/>
      <c r="P119" s="647"/>
      <c r="Q119" s="647"/>
      <c r="R119" s="647"/>
      <c r="S119" s="648"/>
      <c r="U119" s="614" t="s">
        <v>106</v>
      </c>
      <c r="V119" s="615"/>
      <c r="W119" s="612" t="s">
        <v>107</v>
      </c>
      <c r="X119" s="613"/>
      <c r="Y119" s="614" t="s">
        <v>108</v>
      </c>
      <c r="Z119" s="615"/>
    </row>
    <row r="120" spans="1:26" ht="24.6" thickBot="1">
      <c r="A120" s="374" t="s">
        <v>70</v>
      </c>
      <c r="B120" s="215" t="s">
        <v>10</v>
      </c>
      <c r="C120" s="375" t="s">
        <v>84</v>
      </c>
      <c r="D120" s="215" t="s">
        <v>74</v>
      </c>
      <c r="E120" s="217" t="s">
        <v>73</v>
      </c>
      <c r="F120" s="290" t="s">
        <v>96</v>
      </c>
      <c r="G120" s="291" t="s">
        <v>97</v>
      </c>
      <c r="H120" s="291" t="s">
        <v>98</v>
      </c>
      <c r="I120" s="291" t="s">
        <v>98</v>
      </c>
      <c r="J120" s="291" t="s">
        <v>99</v>
      </c>
      <c r="K120" s="291" t="s">
        <v>100</v>
      </c>
      <c r="L120" s="292" t="s">
        <v>72</v>
      </c>
      <c r="M120" s="304" t="s">
        <v>96</v>
      </c>
      <c r="N120" s="291" t="s">
        <v>97</v>
      </c>
      <c r="O120" s="291" t="s">
        <v>98</v>
      </c>
      <c r="P120" s="291" t="s">
        <v>98</v>
      </c>
      <c r="Q120" s="291" t="s">
        <v>99</v>
      </c>
      <c r="R120" s="291" t="s">
        <v>100</v>
      </c>
      <c r="S120" s="292" t="s">
        <v>72</v>
      </c>
      <c r="T120" s="540" t="s">
        <v>72</v>
      </c>
      <c r="U120" s="314" t="s">
        <v>104</v>
      </c>
      <c r="V120" s="315" t="s">
        <v>105</v>
      </c>
      <c r="W120" s="318" t="s">
        <v>47</v>
      </c>
      <c r="X120" s="455" t="s">
        <v>48</v>
      </c>
      <c r="Y120" s="314" t="s">
        <v>47</v>
      </c>
      <c r="Z120" s="315" t="s">
        <v>48</v>
      </c>
    </row>
    <row r="121" spans="1:26" ht="12.9" customHeight="1">
      <c r="A121" s="511">
        <f>50*B121</f>
        <v>50</v>
      </c>
      <c r="B121" s="227">
        <v>1</v>
      </c>
      <c r="C121" s="171">
        <f>FORMAT_HAR_V!C5</f>
        <v>20</v>
      </c>
      <c r="D121" s="506" t="e">
        <f>FORMAT_HAR_V!BZ5</f>
        <v>#DIV/0!</v>
      </c>
      <c r="E121" s="500" t="e">
        <f>FORMAT_HAR_V!CC5</f>
        <v>#DIV/0!</v>
      </c>
      <c r="F121" s="293" t="e">
        <f>0.01*FORMAT_HAR_V!AM5*C121*1000</f>
        <v>#DIV/0!</v>
      </c>
      <c r="G121" s="294" t="e">
        <f>F121/10^0.5</f>
        <v>#DIV/0!</v>
      </c>
      <c r="H121" s="295">
        <f>1000*(0.000042*C121+0.0008)</f>
        <v>1.64</v>
      </c>
      <c r="I121" s="296">
        <f>1000*C121*$H$172*0.01</f>
        <v>59.306523318238554</v>
      </c>
      <c r="J121" s="296"/>
      <c r="K121" s="295">
        <f>1000*0.001/2</f>
        <v>0.5</v>
      </c>
      <c r="L121" s="297" t="e">
        <f>2*(G121^2+I121^2/4+J121^2/3+K121^2/3)^0.5</f>
        <v>#DIV/0!</v>
      </c>
      <c r="M121" s="293" t="e">
        <f>0.01*FORMAT_HAR_V!BW5*C121*1000</f>
        <v>#DIV/0!</v>
      </c>
      <c r="N121" s="294" t="e">
        <f>M121/10^0.5</f>
        <v>#DIV/0!</v>
      </c>
      <c r="O121" s="295">
        <f>1000*(0.000042*C121+0.0008)</f>
        <v>1.64</v>
      </c>
      <c r="P121" s="296">
        <f>1000*C121*$O$172*0.01</f>
        <v>59.306523318238554</v>
      </c>
      <c r="Q121" s="296"/>
      <c r="R121" s="295">
        <f>1000*0.001/2</f>
        <v>0.5</v>
      </c>
      <c r="S121" s="297" t="e">
        <f>2*(N121^2+P121^2/4+Q121^2/3+R121^2/3)^0.5</f>
        <v>#DIV/0!</v>
      </c>
      <c r="T121" s="535" t="e">
        <f>IF(S121&gt;L121,S121,L121)</f>
        <v>#DIV/0!</v>
      </c>
      <c r="U121" s="312">
        <f>0.005*C121*1000</f>
        <v>100</v>
      </c>
      <c r="V121" s="458">
        <f>0.05*C121*1000</f>
        <v>1000</v>
      </c>
      <c r="W121" s="319" t="e">
        <f>IF(ABS(D121)&lt;U121,TRUE,FALSE)</f>
        <v>#DIV/0!</v>
      </c>
      <c r="X121" s="467" t="e">
        <f>IF(ABS(E121)&lt;U121,TRUE,FALSE)</f>
        <v>#DIV/0!</v>
      </c>
      <c r="Y121" s="463" t="e">
        <f>IF(ABS(D121)&lt;V121,TRUE,FALSE)</f>
        <v>#DIV/0!</v>
      </c>
      <c r="Z121" s="316" t="e">
        <f>IF(ABS(E121)&lt;V121,TRUE,FALSE)</f>
        <v>#DIV/0!</v>
      </c>
    </row>
    <row r="122" spans="1:26" ht="12.9" customHeight="1">
      <c r="A122" s="152">
        <f t="shared" ref="A122:A170" si="63">50*B122</f>
        <v>100</v>
      </c>
      <c r="B122" s="50">
        <v>2</v>
      </c>
      <c r="C122" s="48">
        <f>FORMAT_HAR_V!C6</f>
        <v>9.3919999999999995</v>
      </c>
      <c r="D122" s="507" t="e">
        <f>FORMAT_HAR_V!BZ6</f>
        <v>#DIV/0!</v>
      </c>
      <c r="E122" s="501" t="e">
        <f>FORMAT_HAR_V!CC6</f>
        <v>#DIV/0!</v>
      </c>
      <c r="F122" s="286" t="e">
        <f>0.01*FORMAT_HAR_V!AM6*C122*1000</f>
        <v>#DIV/0!</v>
      </c>
      <c r="G122" s="231" t="e">
        <f t="shared" ref="G122:G160" si="64">F122/10^0.5</f>
        <v>#DIV/0!</v>
      </c>
      <c r="H122" s="199">
        <f>1000*(0.00006*C122+0.0022)</f>
        <v>2.7635200000000002</v>
      </c>
      <c r="I122" s="276">
        <f t="shared" ref="I122:I160" si="65">1000*C122*$H$172*0.01</f>
        <v>27.85034335024482</v>
      </c>
      <c r="J122" s="276"/>
      <c r="K122" s="199">
        <f t="shared" ref="K122:K125" si="66">1000*0.001/2</f>
        <v>0.5</v>
      </c>
      <c r="L122" s="287" t="e">
        <f t="shared" ref="L122:L160" si="67">2*(G122^2+I122^2/4+J122^2/3+K122^2/3)^0.5</f>
        <v>#DIV/0!</v>
      </c>
      <c r="M122" s="286" t="e">
        <f>0.01*FORMAT_HAR_V!BW6*C122*1000</f>
        <v>#DIV/0!</v>
      </c>
      <c r="N122" s="231" t="e">
        <f t="shared" ref="N122:N160" si="68">M122/10^0.5</f>
        <v>#DIV/0!</v>
      </c>
      <c r="O122" s="199">
        <f>1000*(0.00006*C122+0.0022)</f>
        <v>2.7635200000000002</v>
      </c>
      <c r="P122" s="276">
        <f t="shared" ref="P122:P160" si="69">1000*C122*$O$172*0.01</f>
        <v>27.85034335024482</v>
      </c>
      <c r="Q122" s="276"/>
      <c r="R122" s="199">
        <f t="shared" ref="R122:R125" si="70">1000*0.001/2</f>
        <v>0.5</v>
      </c>
      <c r="S122" s="287" t="e">
        <f t="shared" ref="S122:S160" si="71">2*(N122^2+P122^2/4+Q122^2/3+R122^2/3)^0.5</f>
        <v>#DIV/0!</v>
      </c>
      <c r="T122" s="541" t="e">
        <f t="shared" ref="T122:T170" si="72">IF(S122&gt;L122,S122,L122)</f>
        <v>#DIV/0!</v>
      </c>
      <c r="U122" s="312">
        <f t="shared" ref="U122:U170" si="73">0.005*C122*1000</f>
        <v>46.96</v>
      </c>
      <c r="V122" s="458">
        <f t="shared" ref="V122:V153" si="74">0.05*C122*1000</f>
        <v>469.6</v>
      </c>
      <c r="W122" s="319" t="e">
        <f t="shared" ref="W122:W170" si="75">IF(ABS(D122)&lt;U122,TRUE,FALSE)</f>
        <v>#DIV/0!</v>
      </c>
      <c r="X122" s="467" t="e">
        <f t="shared" ref="X122:X170" si="76">IF(ABS(E122)&lt;U122,TRUE,FALSE)</f>
        <v>#DIV/0!</v>
      </c>
      <c r="Y122" s="463" t="e">
        <f t="shared" ref="Y122:Y170" si="77">IF(ABS(D122)&lt;V122,TRUE,FALSE)</f>
        <v>#DIV/0!</v>
      </c>
      <c r="Z122" s="316" t="e">
        <f t="shared" ref="Z122:Z170" si="78">IF(ABS(E122)&lt;V122,TRUE,FALSE)</f>
        <v>#DIV/0!</v>
      </c>
    </row>
    <row r="123" spans="1:26" ht="12.9" customHeight="1">
      <c r="A123" s="152">
        <f t="shared" si="63"/>
        <v>150</v>
      </c>
      <c r="B123" s="50">
        <v>3</v>
      </c>
      <c r="C123" s="48">
        <f>FORMAT_HAR_V!C7</f>
        <v>20</v>
      </c>
      <c r="D123" s="507" t="e">
        <f>FORMAT_HAR_V!BZ7</f>
        <v>#DIV/0!</v>
      </c>
      <c r="E123" s="501" t="e">
        <f>FORMAT_HAR_V!CC7</f>
        <v>#DIV/0!</v>
      </c>
      <c r="F123" s="286" t="e">
        <f>0.01*FORMAT_HAR_V!AM7*C123*1000</f>
        <v>#DIV/0!</v>
      </c>
      <c r="G123" s="231" t="e">
        <f t="shared" si="64"/>
        <v>#DIV/0!</v>
      </c>
      <c r="H123" s="199">
        <f t="shared" ref="H123:H137" si="79">1000*(0.00006*C123+0.0022)</f>
        <v>3.4000000000000004</v>
      </c>
      <c r="I123" s="276">
        <f t="shared" si="65"/>
        <v>59.306523318238554</v>
      </c>
      <c r="J123" s="276"/>
      <c r="K123" s="199">
        <f t="shared" si="66"/>
        <v>0.5</v>
      </c>
      <c r="L123" s="287" t="e">
        <f t="shared" si="67"/>
        <v>#DIV/0!</v>
      </c>
      <c r="M123" s="286" t="e">
        <f>0.01*FORMAT_HAR_V!BW7*C123*1000</f>
        <v>#DIV/0!</v>
      </c>
      <c r="N123" s="231" t="e">
        <f t="shared" si="68"/>
        <v>#DIV/0!</v>
      </c>
      <c r="O123" s="199">
        <f t="shared" ref="O123:O137" si="80">1000*(0.00006*C123+0.0022)</f>
        <v>3.4000000000000004</v>
      </c>
      <c r="P123" s="276">
        <f t="shared" si="69"/>
        <v>59.306523318238554</v>
      </c>
      <c r="Q123" s="276"/>
      <c r="R123" s="199">
        <f t="shared" si="70"/>
        <v>0.5</v>
      </c>
      <c r="S123" s="287" t="e">
        <f t="shared" si="71"/>
        <v>#DIV/0!</v>
      </c>
      <c r="T123" s="541" t="e">
        <f t="shared" si="72"/>
        <v>#DIV/0!</v>
      </c>
      <c r="U123" s="312">
        <f t="shared" si="73"/>
        <v>100</v>
      </c>
      <c r="V123" s="458">
        <f t="shared" si="74"/>
        <v>1000</v>
      </c>
      <c r="W123" s="319" t="e">
        <f t="shared" si="75"/>
        <v>#DIV/0!</v>
      </c>
      <c r="X123" s="467" t="e">
        <f t="shared" si="76"/>
        <v>#DIV/0!</v>
      </c>
      <c r="Y123" s="463" t="e">
        <f t="shared" si="77"/>
        <v>#DIV/0!</v>
      </c>
      <c r="Z123" s="316" t="e">
        <f t="shared" si="78"/>
        <v>#DIV/0!</v>
      </c>
    </row>
    <row r="124" spans="1:26" ht="12.9" customHeight="1">
      <c r="A124" s="152">
        <f t="shared" si="63"/>
        <v>200</v>
      </c>
      <c r="B124" s="50">
        <v>4</v>
      </c>
      <c r="C124" s="48">
        <f>FORMAT_HAR_V!C8</f>
        <v>3.74</v>
      </c>
      <c r="D124" s="507" t="e">
        <f>FORMAT_HAR_V!BZ8</f>
        <v>#DIV/0!</v>
      </c>
      <c r="E124" s="501" t="e">
        <f>FORMAT_HAR_V!CC8</f>
        <v>#DIV/0!</v>
      </c>
      <c r="F124" s="286" t="e">
        <f>0.01*FORMAT_HAR_V!AM8*C124*1000</f>
        <v>#DIV/0!</v>
      </c>
      <c r="G124" s="231" t="e">
        <f t="shared" si="64"/>
        <v>#DIV/0!</v>
      </c>
      <c r="H124" s="199">
        <f t="shared" si="79"/>
        <v>2.4244000000000003</v>
      </c>
      <c r="I124" s="276">
        <f t="shared" si="65"/>
        <v>11.090319860510608</v>
      </c>
      <c r="J124" s="276"/>
      <c r="K124" s="199">
        <f>1000*0.0001/2</f>
        <v>0.05</v>
      </c>
      <c r="L124" s="287" t="e">
        <f t="shared" si="67"/>
        <v>#DIV/0!</v>
      </c>
      <c r="M124" s="286" t="e">
        <f>0.01*FORMAT_HAR_V!BW8*C124*1000</f>
        <v>#DIV/0!</v>
      </c>
      <c r="N124" s="231" t="e">
        <f t="shared" si="68"/>
        <v>#DIV/0!</v>
      </c>
      <c r="O124" s="199">
        <f t="shared" si="80"/>
        <v>2.4244000000000003</v>
      </c>
      <c r="P124" s="276">
        <f t="shared" si="69"/>
        <v>11.090319860510608</v>
      </c>
      <c r="Q124" s="276"/>
      <c r="R124" s="199">
        <f>1000*0.0001/2</f>
        <v>0.05</v>
      </c>
      <c r="S124" s="287" t="e">
        <f t="shared" si="71"/>
        <v>#DIV/0!</v>
      </c>
      <c r="T124" s="541" t="e">
        <f t="shared" si="72"/>
        <v>#DIV/0!</v>
      </c>
      <c r="U124" s="312">
        <f t="shared" si="73"/>
        <v>18.700000000000003</v>
      </c>
      <c r="V124" s="458">
        <f t="shared" si="74"/>
        <v>187.00000000000003</v>
      </c>
      <c r="W124" s="319" t="e">
        <f t="shared" si="75"/>
        <v>#DIV/0!</v>
      </c>
      <c r="X124" s="467" t="e">
        <f t="shared" si="76"/>
        <v>#DIV/0!</v>
      </c>
      <c r="Y124" s="463" t="e">
        <f t="shared" si="77"/>
        <v>#DIV/0!</v>
      </c>
      <c r="Z124" s="316" t="e">
        <f t="shared" si="78"/>
        <v>#DIV/0!</v>
      </c>
    </row>
    <row r="125" spans="1:26" ht="12.9" customHeight="1">
      <c r="A125" s="152">
        <f t="shared" si="63"/>
        <v>250</v>
      </c>
      <c r="B125" s="50">
        <v>5</v>
      </c>
      <c r="C125" s="48">
        <f>FORMAT_HAR_V!C9</f>
        <v>9.9139999999999997</v>
      </c>
      <c r="D125" s="507" t="e">
        <f>FORMAT_HAR_V!BZ9</f>
        <v>#DIV/0!</v>
      </c>
      <c r="E125" s="501" t="e">
        <f>FORMAT_HAR_V!CC9</f>
        <v>#DIV/0!</v>
      </c>
      <c r="F125" s="286" t="e">
        <f>0.01*FORMAT_HAR_V!AM9*C125*1000</f>
        <v>#DIV/0!</v>
      </c>
      <c r="G125" s="231" t="e">
        <f t="shared" si="64"/>
        <v>#DIV/0!</v>
      </c>
      <c r="H125" s="199">
        <f t="shared" si="79"/>
        <v>2.7948400000000002</v>
      </c>
      <c r="I125" s="276">
        <f t="shared" si="65"/>
        <v>29.398243608850848</v>
      </c>
      <c r="J125" s="276"/>
      <c r="K125" s="199">
        <f t="shared" si="66"/>
        <v>0.5</v>
      </c>
      <c r="L125" s="287" t="e">
        <f t="shared" si="67"/>
        <v>#DIV/0!</v>
      </c>
      <c r="M125" s="286" t="e">
        <f>0.01*FORMAT_HAR_V!BW9*C125*1000</f>
        <v>#DIV/0!</v>
      </c>
      <c r="N125" s="231" t="e">
        <f t="shared" si="68"/>
        <v>#DIV/0!</v>
      </c>
      <c r="O125" s="199">
        <f t="shared" si="80"/>
        <v>2.7948400000000002</v>
      </c>
      <c r="P125" s="276">
        <f t="shared" si="69"/>
        <v>29.398243608850848</v>
      </c>
      <c r="Q125" s="276"/>
      <c r="R125" s="199">
        <f t="shared" si="70"/>
        <v>0.5</v>
      </c>
      <c r="S125" s="287" t="e">
        <f t="shared" si="71"/>
        <v>#DIV/0!</v>
      </c>
      <c r="T125" s="541" t="e">
        <f t="shared" si="72"/>
        <v>#DIV/0!</v>
      </c>
      <c r="U125" s="312">
        <f t="shared" si="73"/>
        <v>49.57</v>
      </c>
      <c r="V125" s="458">
        <f t="shared" si="74"/>
        <v>495.70000000000005</v>
      </c>
      <c r="W125" s="319" t="e">
        <f t="shared" si="75"/>
        <v>#DIV/0!</v>
      </c>
      <c r="X125" s="467" t="e">
        <f t="shared" si="76"/>
        <v>#DIV/0!</v>
      </c>
      <c r="Y125" s="463" t="e">
        <f t="shared" si="77"/>
        <v>#DIV/0!</v>
      </c>
      <c r="Z125" s="316" t="e">
        <f t="shared" si="78"/>
        <v>#DIV/0!</v>
      </c>
    </row>
    <row r="126" spans="1:26" ht="12.9" customHeight="1">
      <c r="A126" s="152">
        <f t="shared" si="63"/>
        <v>300</v>
      </c>
      <c r="B126" s="50">
        <v>6</v>
      </c>
      <c r="C126" s="48">
        <f>FORMAT_HAR_V!C10</f>
        <v>2.6080000000000001</v>
      </c>
      <c r="D126" s="508" t="e">
        <f>FORMAT_HAR_V!BZ10</f>
        <v>#DIV/0!</v>
      </c>
      <c r="E126" s="459" t="e">
        <f>FORMAT_HAR_V!CC10</f>
        <v>#DIV/0!</v>
      </c>
      <c r="F126" s="286" t="e">
        <f>0.01*FORMAT_HAR_V!AM10*C126*1000</f>
        <v>#DIV/0!</v>
      </c>
      <c r="G126" s="231" t="e">
        <f t="shared" si="64"/>
        <v>#DIV/0!</v>
      </c>
      <c r="H126" s="199">
        <f t="shared" si="79"/>
        <v>2.3564800000000004</v>
      </c>
      <c r="I126" s="276">
        <f t="shared" si="65"/>
        <v>7.7335706406983071</v>
      </c>
      <c r="J126" s="276"/>
      <c r="K126" s="199">
        <f>1000*0.0001/2</f>
        <v>0.05</v>
      </c>
      <c r="L126" s="288" t="e">
        <f t="shared" si="67"/>
        <v>#DIV/0!</v>
      </c>
      <c r="M126" s="286" t="e">
        <f>0.01*FORMAT_HAR_V!BW10*C126*1000</f>
        <v>#DIV/0!</v>
      </c>
      <c r="N126" s="231" t="e">
        <f t="shared" si="68"/>
        <v>#DIV/0!</v>
      </c>
      <c r="O126" s="199">
        <f t="shared" si="80"/>
        <v>2.3564800000000004</v>
      </c>
      <c r="P126" s="276">
        <f t="shared" si="69"/>
        <v>7.7335706406983071</v>
      </c>
      <c r="Q126" s="276"/>
      <c r="R126" s="199">
        <f>1000*0.0001/2</f>
        <v>0.05</v>
      </c>
      <c r="S126" s="288" t="e">
        <f t="shared" si="71"/>
        <v>#DIV/0!</v>
      </c>
      <c r="T126" s="541" t="e">
        <f t="shared" si="72"/>
        <v>#DIV/0!</v>
      </c>
      <c r="U126" s="312">
        <f t="shared" si="73"/>
        <v>13.040000000000001</v>
      </c>
      <c r="V126" s="458">
        <f t="shared" si="74"/>
        <v>130.4</v>
      </c>
      <c r="W126" s="319" t="e">
        <f t="shared" si="75"/>
        <v>#DIV/0!</v>
      </c>
      <c r="X126" s="467" t="e">
        <f t="shared" si="76"/>
        <v>#DIV/0!</v>
      </c>
      <c r="Y126" s="463" t="e">
        <f t="shared" si="77"/>
        <v>#DIV/0!</v>
      </c>
      <c r="Z126" s="316" t="e">
        <f t="shared" si="78"/>
        <v>#DIV/0!</v>
      </c>
    </row>
    <row r="127" spans="1:26" ht="12.9" customHeight="1">
      <c r="A127" s="152">
        <f t="shared" si="63"/>
        <v>350</v>
      </c>
      <c r="B127" s="50">
        <v>7</v>
      </c>
      <c r="C127" s="48">
        <f>FORMAT_HAR_V!C11</f>
        <v>6.6959999999999997</v>
      </c>
      <c r="D127" s="507" t="e">
        <f>FORMAT_HAR_V!BZ11</f>
        <v>#DIV/0!</v>
      </c>
      <c r="E127" s="501" t="e">
        <f>FORMAT_HAR_V!CC11</f>
        <v>#DIV/0!</v>
      </c>
      <c r="F127" s="286" t="e">
        <f>0.01*FORMAT_HAR_V!AM11*C127*1000</f>
        <v>#DIV/0!</v>
      </c>
      <c r="G127" s="231" t="e">
        <f t="shared" si="64"/>
        <v>#DIV/0!</v>
      </c>
      <c r="H127" s="199">
        <f t="shared" si="79"/>
        <v>2.6017600000000001</v>
      </c>
      <c r="I127" s="276">
        <f t="shared" si="65"/>
        <v>19.855824006946268</v>
      </c>
      <c r="J127" s="276"/>
      <c r="K127" s="199">
        <f>1000*0.0001/2</f>
        <v>0.05</v>
      </c>
      <c r="L127" s="287" t="e">
        <f t="shared" si="67"/>
        <v>#DIV/0!</v>
      </c>
      <c r="M127" s="286" t="e">
        <f>0.01*FORMAT_HAR_V!BW11*C127*1000</f>
        <v>#DIV/0!</v>
      </c>
      <c r="N127" s="231" t="e">
        <f t="shared" si="68"/>
        <v>#DIV/0!</v>
      </c>
      <c r="O127" s="199">
        <f t="shared" si="80"/>
        <v>2.6017600000000001</v>
      </c>
      <c r="P127" s="276">
        <f t="shared" si="69"/>
        <v>19.855824006946268</v>
      </c>
      <c r="Q127" s="276"/>
      <c r="R127" s="199">
        <f>1000*0.0001/2</f>
        <v>0.05</v>
      </c>
      <c r="S127" s="287" t="e">
        <f t="shared" si="71"/>
        <v>#DIV/0!</v>
      </c>
      <c r="T127" s="541" t="e">
        <f t="shared" si="72"/>
        <v>#DIV/0!</v>
      </c>
      <c r="U127" s="312">
        <f t="shared" si="73"/>
        <v>33.480000000000004</v>
      </c>
      <c r="V127" s="458">
        <f t="shared" si="74"/>
        <v>334.8</v>
      </c>
      <c r="W127" s="319" t="e">
        <f t="shared" si="75"/>
        <v>#DIV/0!</v>
      </c>
      <c r="X127" s="467" t="e">
        <f t="shared" si="76"/>
        <v>#DIV/0!</v>
      </c>
      <c r="Y127" s="463" t="e">
        <f t="shared" si="77"/>
        <v>#DIV/0!</v>
      </c>
      <c r="Z127" s="316" t="e">
        <f t="shared" si="78"/>
        <v>#DIV/0!</v>
      </c>
    </row>
    <row r="128" spans="1:26" ht="12.9" customHeight="1">
      <c r="A128" s="152">
        <f t="shared" si="63"/>
        <v>400</v>
      </c>
      <c r="B128" s="50">
        <v>8</v>
      </c>
      <c r="C128" s="48">
        <f>FORMAT_HAR_V!C12</f>
        <v>2</v>
      </c>
      <c r="D128" s="508" t="e">
        <f>FORMAT_HAR_V!BZ12</f>
        <v>#DIV/0!</v>
      </c>
      <c r="E128" s="459" t="e">
        <f>FORMAT_HAR_V!CC12</f>
        <v>#DIV/0!</v>
      </c>
      <c r="F128" s="286" t="e">
        <f>0.01*FORMAT_HAR_V!AM12*C128*1000</f>
        <v>#DIV/0!</v>
      </c>
      <c r="G128" s="231" t="e">
        <f t="shared" si="64"/>
        <v>#DIV/0!</v>
      </c>
      <c r="H128" s="199">
        <f t="shared" si="79"/>
        <v>2.3199999999999998</v>
      </c>
      <c r="I128" s="276">
        <f t="shared" si="65"/>
        <v>5.9306523318238549</v>
      </c>
      <c r="J128" s="276"/>
      <c r="K128" s="199">
        <f t="shared" ref="K128:K141" si="81">1000*0.0001/2</f>
        <v>0.05</v>
      </c>
      <c r="L128" s="288" t="e">
        <f t="shared" si="67"/>
        <v>#DIV/0!</v>
      </c>
      <c r="M128" s="286" t="e">
        <f>0.01*FORMAT_HAR_V!BW12*C128*1000</f>
        <v>#DIV/0!</v>
      </c>
      <c r="N128" s="231" t="e">
        <f t="shared" si="68"/>
        <v>#DIV/0!</v>
      </c>
      <c r="O128" s="199">
        <f t="shared" si="80"/>
        <v>2.3199999999999998</v>
      </c>
      <c r="P128" s="276">
        <f t="shared" si="69"/>
        <v>5.9306523318238549</v>
      </c>
      <c r="Q128" s="276"/>
      <c r="R128" s="199">
        <f t="shared" ref="R128:R141" si="82">1000*0.0001/2</f>
        <v>0.05</v>
      </c>
      <c r="S128" s="288" t="e">
        <f t="shared" si="71"/>
        <v>#DIV/0!</v>
      </c>
      <c r="T128" s="541" t="e">
        <f t="shared" si="72"/>
        <v>#DIV/0!</v>
      </c>
      <c r="U128" s="312">
        <f t="shared" si="73"/>
        <v>10</v>
      </c>
      <c r="V128" s="458">
        <f t="shared" si="74"/>
        <v>100</v>
      </c>
      <c r="W128" s="319" t="e">
        <f t="shared" si="75"/>
        <v>#DIV/0!</v>
      </c>
      <c r="X128" s="467" t="e">
        <f t="shared" si="76"/>
        <v>#DIV/0!</v>
      </c>
      <c r="Y128" s="463" t="e">
        <f t="shared" si="77"/>
        <v>#DIV/0!</v>
      </c>
      <c r="Z128" s="316" t="e">
        <f t="shared" si="78"/>
        <v>#DIV/0!</v>
      </c>
    </row>
    <row r="129" spans="1:26" ht="12.9" customHeight="1">
      <c r="A129" s="152">
        <f t="shared" si="63"/>
        <v>450</v>
      </c>
      <c r="B129" s="50">
        <v>9</v>
      </c>
      <c r="C129" s="48">
        <f>FORMAT_HAR_V!C13</f>
        <v>3.4780000000000002</v>
      </c>
      <c r="D129" s="507" t="e">
        <f>FORMAT_HAR_V!BZ13</f>
        <v>#DIV/0!</v>
      </c>
      <c r="E129" s="501" t="e">
        <f>FORMAT_HAR_V!CC13</f>
        <v>#DIV/0!</v>
      </c>
      <c r="F129" s="286" t="e">
        <f>0.01*FORMAT_HAR_V!AM13*C129*1000</f>
        <v>#DIV/0!</v>
      </c>
      <c r="G129" s="231" t="e">
        <f t="shared" si="64"/>
        <v>#DIV/0!</v>
      </c>
      <c r="H129" s="199">
        <f t="shared" si="79"/>
        <v>2.4086800000000004</v>
      </c>
      <c r="I129" s="276">
        <f t="shared" si="65"/>
        <v>10.313404405041684</v>
      </c>
      <c r="J129" s="276"/>
      <c r="K129" s="199">
        <f t="shared" si="81"/>
        <v>0.05</v>
      </c>
      <c r="L129" s="287" t="e">
        <f t="shared" si="67"/>
        <v>#DIV/0!</v>
      </c>
      <c r="M129" s="286" t="e">
        <f>0.01*FORMAT_HAR_V!BW13*C129*1000</f>
        <v>#DIV/0!</v>
      </c>
      <c r="N129" s="231" t="e">
        <f t="shared" si="68"/>
        <v>#DIV/0!</v>
      </c>
      <c r="O129" s="199">
        <f t="shared" si="80"/>
        <v>2.4086800000000004</v>
      </c>
      <c r="P129" s="276">
        <f t="shared" si="69"/>
        <v>10.313404405041684</v>
      </c>
      <c r="Q129" s="276"/>
      <c r="R129" s="199">
        <f t="shared" si="82"/>
        <v>0.05</v>
      </c>
      <c r="S129" s="287" t="e">
        <f t="shared" si="71"/>
        <v>#DIV/0!</v>
      </c>
      <c r="T129" s="541" t="e">
        <f t="shared" si="72"/>
        <v>#DIV/0!</v>
      </c>
      <c r="U129" s="312">
        <f t="shared" si="73"/>
        <v>17.390000000000004</v>
      </c>
      <c r="V129" s="458">
        <f t="shared" si="74"/>
        <v>173.90000000000003</v>
      </c>
      <c r="W129" s="319" t="e">
        <f t="shared" si="75"/>
        <v>#DIV/0!</v>
      </c>
      <c r="X129" s="467" t="e">
        <f t="shared" si="76"/>
        <v>#DIV/0!</v>
      </c>
      <c r="Y129" s="463" t="e">
        <f t="shared" si="77"/>
        <v>#DIV/0!</v>
      </c>
      <c r="Z129" s="316" t="e">
        <f t="shared" si="78"/>
        <v>#DIV/0!</v>
      </c>
    </row>
    <row r="130" spans="1:26" ht="12.9" customHeight="1">
      <c r="A130" s="152">
        <f t="shared" si="63"/>
        <v>500</v>
      </c>
      <c r="B130" s="50">
        <v>10</v>
      </c>
      <c r="C130" s="48">
        <f>FORMAT_HAR_V!C14</f>
        <v>1.6</v>
      </c>
      <c r="D130" s="508" t="e">
        <f>FORMAT_HAR_V!BZ14</f>
        <v>#DIV/0!</v>
      </c>
      <c r="E130" s="459" t="e">
        <f>FORMAT_HAR_V!CC14</f>
        <v>#DIV/0!</v>
      </c>
      <c r="F130" s="286" t="e">
        <f>0.01*FORMAT_HAR_V!AM14*C130*1000</f>
        <v>#DIV/0!</v>
      </c>
      <c r="G130" s="231" t="e">
        <f t="shared" si="64"/>
        <v>#DIV/0!</v>
      </c>
      <c r="H130" s="199">
        <f t="shared" si="79"/>
        <v>2.2960000000000003</v>
      </c>
      <c r="I130" s="276">
        <f t="shared" si="65"/>
        <v>4.7445218654590837</v>
      </c>
      <c r="J130" s="276"/>
      <c r="K130" s="199">
        <f t="shared" si="81"/>
        <v>0.05</v>
      </c>
      <c r="L130" s="288" t="e">
        <f t="shared" si="67"/>
        <v>#DIV/0!</v>
      </c>
      <c r="M130" s="286" t="e">
        <f>0.01*FORMAT_HAR_V!BW14*C130*1000</f>
        <v>#DIV/0!</v>
      </c>
      <c r="N130" s="231" t="e">
        <f t="shared" si="68"/>
        <v>#DIV/0!</v>
      </c>
      <c r="O130" s="199">
        <f t="shared" si="80"/>
        <v>2.2960000000000003</v>
      </c>
      <c r="P130" s="276">
        <f t="shared" si="69"/>
        <v>4.7445218654590837</v>
      </c>
      <c r="Q130" s="276"/>
      <c r="R130" s="199">
        <f t="shared" si="82"/>
        <v>0.05</v>
      </c>
      <c r="S130" s="288" t="e">
        <f t="shared" si="71"/>
        <v>#DIV/0!</v>
      </c>
      <c r="T130" s="541" t="e">
        <f t="shared" si="72"/>
        <v>#DIV/0!</v>
      </c>
      <c r="U130" s="312">
        <f t="shared" si="73"/>
        <v>8</v>
      </c>
      <c r="V130" s="458">
        <f t="shared" si="74"/>
        <v>80.000000000000014</v>
      </c>
      <c r="W130" s="319" t="e">
        <f t="shared" si="75"/>
        <v>#DIV/0!</v>
      </c>
      <c r="X130" s="467" t="e">
        <f t="shared" si="76"/>
        <v>#DIV/0!</v>
      </c>
      <c r="Y130" s="463" t="e">
        <f t="shared" si="77"/>
        <v>#DIV/0!</v>
      </c>
      <c r="Z130" s="316" t="e">
        <f t="shared" si="78"/>
        <v>#DIV/0!</v>
      </c>
    </row>
    <row r="131" spans="1:26" ht="12.9" customHeight="1">
      <c r="A131" s="152">
        <f t="shared" si="63"/>
        <v>550</v>
      </c>
      <c r="B131" s="50">
        <v>11</v>
      </c>
      <c r="C131" s="48">
        <f>FORMAT_HAR_V!C15</f>
        <v>2.87</v>
      </c>
      <c r="D131" s="508" t="e">
        <f>FORMAT_HAR_V!BZ15</f>
        <v>#DIV/0!</v>
      </c>
      <c r="E131" s="459" t="e">
        <f>FORMAT_HAR_V!CC15</f>
        <v>#DIV/0!</v>
      </c>
      <c r="F131" s="286" t="e">
        <f>0.01*FORMAT_HAR_V!AM15*C131*1000</f>
        <v>#DIV/0!</v>
      </c>
      <c r="G131" s="231" t="e">
        <f t="shared" si="64"/>
        <v>#DIV/0!</v>
      </c>
      <c r="H131" s="199">
        <f t="shared" si="79"/>
        <v>2.3722000000000003</v>
      </c>
      <c r="I131" s="276">
        <f t="shared" si="65"/>
        <v>8.5104860961672326</v>
      </c>
      <c r="J131" s="276"/>
      <c r="K131" s="199">
        <f t="shared" si="81"/>
        <v>0.05</v>
      </c>
      <c r="L131" s="288" t="e">
        <f t="shared" si="67"/>
        <v>#DIV/0!</v>
      </c>
      <c r="M131" s="286" t="e">
        <f>0.01*FORMAT_HAR_V!BW15*C131*1000</f>
        <v>#DIV/0!</v>
      </c>
      <c r="N131" s="231" t="e">
        <f t="shared" si="68"/>
        <v>#DIV/0!</v>
      </c>
      <c r="O131" s="199">
        <f t="shared" si="80"/>
        <v>2.3722000000000003</v>
      </c>
      <c r="P131" s="276">
        <f t="shared" si="69"/>
        <v>8.5104860961672326</v>
      </c>
      <c r="Q131" s="276"/>
      <c r="R131" s="199">
        <f t="shared" si="82"/>
        <v>0.05</v>
      </c>
      <c r="S131" s="288" t="e">
        <f t="shared" si="71"/>
        <v>#DIV/0!</v>
      </c>
      <c r="T131" s="541" t="e">
        <f t="shared" si="72"/>
        <v>#DIV/0!</v>
      </c>
      <c r="U131" s="312">
        <f t="shared" si="73"/>
        <v>14.350000000000001</v>
      </c>
      <c r="V131" s="458">
        <f t="shared" si="74"/>
        <v>143.50000000000003</v>
      </c>
      <c r="W131" s="319" t="e">
        <f t="shared" si="75"/>
        <v>#DIV/0!</v>
      </c>
      <c r="X131" s="467" t="e">
        <f t="shared" si="76"/>
        <v>#DIV/0!</v>
      </c>
      <c r="Y131" s="463" t="e">
        <f t="shared" si="77"/>
        <v>#DIV/0!</v>
      </c>
      <c r="Z131" s="316" t="e">
        <f t="shared" si="78"/>
        <v>#DIV/0!</v>
      </c>
    </row>
    <row r="132" spans="1:26" ht="12.9" customHeight="1">
      <c r="A132" s="152">
        <f t="shared" si="63"/>
        <v>600</v>
      </c>
      <c r="B132" s="50">
        <v>12</v>
      </c>
      <c r="C132" s="48">
        <f>FORMAT_HAR_V!C16</f>
        <v>1.3340000000000001</v>
      </c>
      <c r="D132" s="508" t="e">
        <f>FORMAT_HAR_V!BZ16</f>
        <v>#DIV/0!</v>
      </c>
      <c r="E132" s="459" t="e">
        <f>FORMAT_HAR_V!CC16</f>
        <v>#DIV/0!</v>
      </c>
      <c r="F132" s="286" t="e">
        <f>0.01*FORMAT_HAR_V!AM16*C132*1000</f>
        <v>#DIV/0!</v>
      </c>
      <c r="G132" s="231" t="e">
        <f t="shared" si="64"/>
        <v>#DIV/0!</v>
      </c>
      <c r="H132" s="199">
        <f t="shared" si="79"/>
        <v>2.2800400000000001</v>
      </c>
      <c r="I132" s="276">
        <f t="shared" si="65"/>
        <v>3.9557451053265114</v>
      </c>
      <c r="J132" s="276"/>
      <c r="K132" s="199">
        <f t="shared" si="81"/>
        <v>0.05</v>
      </c>
      <c r="L132" s="288" t="e">
        <f t="shared" si="67"/>
        <v>#DIV/0!</v>
      </c>
      <c r="M132" s="286" t="e">
        <f>0.01*FORMAT_HAR_V!BW16*C132*1000</f>
        <v>#DIV/0!</v>
      </c>
      <c r="N132" s="231" t="e">
        <f t="shared" si="68"/>
        <v>#DIV/0!</v>
      </c>
      <c r="O132" s="199">
        <f t="shared" si="80"/>
        <v>2.2800400000000001</v>
      </c>
      <c r="P132" s="276">
        <f t="shared" si="69"/>
        <v>3.9557451053265114</v>
      </c>
      <c r="Q132" s="276"/>
      <c r="R132" s="199">
        <f t="shared" si="82"/>
        <v>0.05</v>
      </c>
      <c r="S132" s="288" t="e">
        <f t="shared" si="71"/>
        <v>#DIV/0!</v>
      </c>
      <c r="T132" s="541" t="e">
        <f t="shared" si="72"/>
        <v>#DIV/0!</v>
      </c>
      <c r="U132" s="312">
        <f t="shared" si="73"/>
        <v>6.6700000000000008</v>
      </c>
      <c r="V132" s="458">
        <f t="shared" si="74"/>
        <v>66.7</v>
      </c>
      <c r="W132" s="319" t="e">
        <f t="shared" si="75"/>
        <v>#DIV/0!</v>
      </c>
      <c r="X132" s="467" t="e">
        <f t="shared" si="76"/>
        <v>#DIV/0!</v>
      </c>
      <c r="Y132" s="463" t="e">
        <f t="shared" si="77"/>
        <v>#DIV/0!</v>
      </c>
      <c r="Z132" s="316" t="e">
        <f t="shared" si="78"/>
        <v>#DIV/0!</v>
      </c>
    </row>
    <row r="133" spans="1:26" ht="12.9" customHeight="1">
      <c r="A133" s="152">
        <f t="shared" si="63"/>
        <v>650</v>
      </c>
      <c r="B133" s="50">
        <v>13</v>
      </c>
      <c r="C133" s="48">
        <f>FORMAT_HAR_V!C17</f>
        <v>1.8260000000000001</v>
      </c>
      <c r="D133" s="508" t="e">
        <f>FORMAT_HAR_V!BZ17</f>
        <v>#DIV/0!</v>
      </c>
      <c r="E133" s="459" t="e">
        <f>FORMAT_HAR_V!CC17</f>
        <v>#DIV/0!</v>
      </c>
      <c r="F133" s="286" t="e">
        <f>0.01*FORMAT_HAR_V!AM17*C133*1000</f>
        <v>#DIV/0!</v>
      </c>
      <c r="G133" s="231" t="e">
        <f t="shared" si="64"/>
        <v>#DIV/0!</v>
      </c>
      <c r="H133" s="199">
        <f t="shared" si="79"/>
        <v>2.3095599999999998</v>
      </c>
      <c r="I133" s="276">
        <f t="shared" si="65"/>
        <v>5.4146855789551793</v>
      </c>
      <c r="J133" s="276"/>
      <c r="K133" s="199">
        <f t="shared" si="81"/>
        <v>0.05</v>
      </c>
      <c r="L133" s="288" t="e">
        <f t="shared" si="67"/>
        <v>#DIV/0!</v>
      </c>
      <c r="M133" s="286" t="e">
        <f>0.01*FORMAT_HAR_V!BW17*C133*1000</f>
        <v>#DIV/0!</v>
      </c>
      <c r="N133" s="231" t="e">
        <f t="shared" si="68"/>
        <v>#DIV/0!</v>
      </c>
      <c r="O133" s="199">
        <f t="shared" si="80"/>
        <v>2.3095599999999998</v>
      </c>
      <c r="P133" s="276">
        <f t="shared" si="69"/>
        <v>5.4146855789551793</v>
      </c>
      <c r="Q133" s="276"/>
      <c r="R133" s="199">
        <f t="shared" si="82"/>
        <v>0.05</v>
      </c>
      <c r="S133" s="288" t="e">
        <f t="shared" si="71"/>
        <v>#DIV/0!</v>
      </c>
      <c r="T133" s="541" t="e">
        <f t="shared" si="72"/>
        <v>#DIV/0!</v>
      </c>
      <c r="U133" s="312">
        <f t="shared" si="73"/>
        <v>9.1300000000000008</v>
      </c>
      <c r="V133" s="458">
        <f t="shared" si="74"/>
        <v>91.300000000000011</v>
      </c>
      <c r="W133" s="319" t="e">
        <f t="shared" si="75"/>
        <v>#DIV/0!</v>
      </c>
      <c r="X133" s="467" t="e">
        <f t="shared" si="76"/>
        <v>#DIV/0!</v>
      </c>
      <c r="Y133" s="463" t="e">
        <f t="shared" si="77"/>
        <v>#DIV/0!</v>
      </c>
      <c r="Z133" s="316" t="e">
        <f t="shared" si="78"/>
        <v>#DIV/0!</v>
      </c>
    </row>
    <row r="134" spans="1:26" ht="12.9" customHeight="1">
      <c r="A134" s="152">
        <f t="shared" si="63"/>
        <v>700</v>
      </c>
      <c r="B134" s="50">
        <v>14</v>
      </c>
      <c r="C134" s="48">
        <f>FORMAT_HAR_V!C18</f>
        <v>1.1419999999999999</v>
      </c>
      <c r="D134" s="508" t="e">
        <f>FORMAT_HAR_V!BZ18</f>
        <v>#DIV/0!</v>
      </c>
      <c r="E134" s="459" t="e">
        <f>FORMAT_HAR_V!CC18</f>
        <v>#DIV/0!</v>
      </c>
      <c r="F134" s="286" t="e">
        <f>0.01*FORMAT_HAR_V!AM18*C134*1000</f>
        <v>#DIV/0!</v>
      </c>
      <c r="G134" s="231" t="e">
        <f t="shared" si="64"/>
        <v>#DIV/0!</v>
      </c>
      <c r="H134" s="199">
        <f t="shared" si="79"/>
        <v>2.2685200000000001</v>
      </c>
      <c r="I134" s="276">
        <f t="shared" si="65"/>
        <v>3.3864024814714209</v>
      </c>
      <c r="J134" s="276"/>
      <c r="K134" s="199">
        <f t="shared" si="81"/>
        <v>0.05</v>
      </c>
      <c r="L134" s="288" t="e">
        <f t="shared" si="67"/>
        <v>#DIV/0!</v>
      </c>
      <c r="M134" s="286" t="e">
        <f>0.01*FORMAT_HAR_V!BW18*C134*1000</f>
        <v>#DIV/0!</v>
      </c>
      <c r="N134" s="231" t="e">
        <f t="shared" si="68"/>
        <v>#DIV/0!</v>
      </c>
      <c r="O134" s="199">
        <f t="shared" si="80"/>
        <v>2.2685200000000001</v>
      </c>
      <c r="P134" s="276">
        <f t="shared" si="69"/>
        <v>3.3864024814714209</v>
      </c>
      <c r="Q134" s="276"/>
      <c r="R134" s="199">
        <f t="shared" si="82"/>
        <v>0.05</v>
      </c>
      <c r="S134" s="288" t="e">
        <f t="shared" si="71"/>
        <v>#DIV/0!</v>
      </c>
      <c r="T134" s="541" t="e">
        <f t="shared" si="72"/>
        <v>#DIV/0!</v>
      </c>
      <c r="U134" s="312">
        <f t="shared" si="73"/>
        <v>5.71</v>
      </c>
      <c r="V134" s="458">
        <f t="shared" si="74"/>
        <v>57.1</v>
      </c>
      <c r="W134" s="319" t="e">
        <f t="shared" si="75"/>
        <v>#DIV/0!</v>
      </c>
      <c r="X134" s="467" t="e">
        <f t="shared" si="76"/>
        <v>#DIV/0!</v>
      </c>
      <c r="Y134" s="463" t="e">
        <f t="shared" si="77"/>
        <v>#DIV/0!</v>
      </c>
      <c r="Z134" s="316" t="e">
        <f t="shared" si="78"/>
        <v>#DIV/0!</v>
      </c>
    </row>
    <row r="135" spans="1:26" ht="12.9" customHeight="1">
      <c r="A135" s="152">
        <f t="shared" si="63"/>
        <v>750</v>
      </c>
      <c r="B135" s="50">
        <v>15</v>
      </c>
      <c r="C135" s="48">
        <f>FORMAT_HAR_V!C19</f>
        <v>1.304</v>
      </c>
      <c r="D135" s="508" t="e">
        <f>FORMAT_HAR_V!BZ19</f>
        <v>#DIV/0!</v>
      </c>
      <c r="E135" s="459" t="e">
        <f>FORMAT_HAR_V!CC19</f>
        <v>#DIV/0!</v>
      </c>
      <c r="F135" s="286" t="e">
        <f>0.01*FORMAT_HAR_V!AM19*C135*1000</f>
        <v>#DIV/0!</v>
      </c>
      <c r="G135" s="231" t="e">
        <f t="shared" si="64"/>
        <v>#DIV/0!</v>
      </c>
      <c r="H135" s="199">
        <f t="shared" si="79"/>
        <v>2.2782399999999998</v>
      </c>
      <c r="I135" s="276">
        <f t="shared" si="65"/>
        <v>3.8667853203491536</v>
      </c>
      <c r="J135" s="276"/>
      <c r="K135" s="199">
        <f t="shared" si="81"/>
        <v>0.05</v>
      </c>
      <c r="L135" s="288" t="e">
        <f t="shared" si="67"/>
        <v>#DIV/0!</v>
      </c>
      <c r="M135" s="286" t="e">
        <f>0.01*FORMAT_HAR_V!BW19*C135*1000</f>
        <v>#DIV/0!</v>
      </c>
      <c r="N135" s="231" t="e">
        <f t="shared" si="68"/>
        <v>#DIV/0!</v>
      </c>
      <c r="O135" s="199">
        <f t="shared" si="80"/>
        <v>2.2782399999999998</v>
      </c>
      <c r="P135" s="276">
        <f t="shared" si="69"/>
        <v>3.8667853203491536</v>
      </c>
      <c r="Q135" s="276"/>
      <c r="R135" s="199">
        <f t="shared" si="82"/>
        <v>0.05</v>
      </c>
      <c r="S135" s="288" t="e">
        <f t="shared" si="71"/>
        <v>#DIV/0!</v>
      </c>
      <c r="T135" s="541" t="e">
        <f t="shared" si="72"/>
        <v>#DIV/0!</v>
      </c>
      <c r="U135" s="312">
        <f t="shared" si="73"/>
        <v>6.5200000000000005</v>
      </c>
      <c r="V135" s="458">
        <f t="shared" si="74"/>
        <v>65.2</v>
      </c>
      <c r="W135" s="319" t="e">
        <f t="shared" si="75"/>
        <v>#DIV/0!</v>
      </c>
      <c r="X135" s="467" t="e">
        <f t="shared" si="76"/>
        <v>#DIV/0!</v>
      </c>
      <c r="Y135" s="463" t="e">
        <f t="shared" si="77"/>
        <v>#DIV/0!</v>
      </c>
      <c r="Z135" s="316" t="e">
        <f t="shared" si="78"/>
        <v>#DIV/0!</v>
      </c>
    </row>
    <row r="136" spans="1:26" ht="12.9" customHeight="1">
      <c r="A136" s="152">
        <f t="shared" si="63"/>
        <v>800</v>
      </c>
      <c r="B136" s="50">
        <v>16</v>
      </c>
      <c r="C136" s="48">
        <f>FORMAT_HAR_V!C20</f>
        <v>1</v>
      </c>
      <c r="D136" s="508" t="e">
        <f>FORMAT_HAR_V!BZ20</f>
        <v>#DIV/0!</v>
      </c>
      <c r="E136" s="459" t="e">
        <f>FORMAT_HAR_V!CC20</f>
        <v>#DIV/0!</v>
      </c>
      <c r="F136" s="286" t="e">
        <f>0.01*FORMAT_HAR_V!AM20*C136*1000</f>
        <v>#DIV/0!</v>
      </c>
      <c r="G136" s="231" t="e">
        <f t="shared" si="64"/>
        <v>#DIV/0!</v>
      </c>
      <c r="H136" s="199">
        <f t="shared" si="79"/>
        <v>2.2600000000000002</v>
      </c>
      <c r="I136" s="276">
        <f t="shared" si="65"/>
        <v>2.9653261659119274</v>
      </c>
      <c r="J136" s="276"/>
      <c r="K136" s="199">
        <f t="shared" si="81"/>
        <v>0.05</v>
      </c>
      <c r="L136" s="288" t="e">
        <f t="shared" si="67"/>
        <v>#DIV/0!</v>
      </c>
      <c r="M136" s="286" t="e">
        <f>0.01*FORMAT_HAR_V!BW20*C136*1000</f>
        <v>#DIV/0!</v>
      </c>
      <c r="N136" s="231" t="e">
        <f t="shared" si="68"/>
        <v>#DIV/0!</v>
      </c>
      <c r="O136" s="199">
        <f t="shared" si="80"/>
        <v>2.2600000000000002</v>
      </c>
      <c r="P136" s="276">
        <f t="shared" si="69"/>
        <v>2.9653261659119274</v>
      </c>
      <c r="Q136" s="276"/>
      <c r="R136" s="199">
        <f t="shared" si="82"/>
        <v>0.05</v>
      </c>
      <c r="S136" s="288" t="e">
        <f t="shared" si="71"/>
        <v>#DIV/0!</v>
      </c>
      <c r="T136" s="541" t="e">
        <f t="shared" si="72"/>
        <v>#DIV/0!</v>
      </c>
      <c r="U136" s="312">
        <f t="shared" si="73"/>
        <v>5</v>
      </c>
      <c r="V136" s="458">
        <f t="shared" si="74"/>
        <v>50</v>
      </c>
      <c r="W136" s="319" t="e">
        <f t="shared" si="75"/>
        <v>#DIV/0!</v>
      </c>
      <c r="X136" s="467" t="e">
        <f t="shared" si="76"/>
        <v>#DIV/0!</v>
      </c>
      <c r="Y136" s="463" t="e">
        <f t="shared" si="77"/>
        <v>#DIV/0!</v>
      </c>
      <c r="Z136" s="316" t="e">
        <f t="shared" si="78"/>
        <v>#DIV/0!</v>
      </c>
    </row>
    <row r="137" spans="1:26" ht="12.9" customHeight="1">
      <c r="A137" s="152">
        <f t="shared" si="63"/>
        <v>850</v>
      </c>
      <c r="B137" s="50">
        <v>17</v>
      </c>
      <c r="C137" s="48">
        <f>FORMAT_HAR_V!C21</f>
        <v>1.1499999999999999</v>
      </c>
      <c r="D137" s="508" t="e">
        <f>FORMAT_HAR_V!BZ21</f>
        <v>#DIV/0!</v>
      </c>
      <c r="E137" s="459" t="e">
        <f>FORMAT_HAR_V!CC21</f>
        <v>#DIV/0!</v>
      </c>
      <c r="F137" s="286" t="e">
        <f>0.01*FORMAT_HAR_V!AM21*C137*1000</f>
        <v>#DIV/0!</v>
      </c>
      <c r="G137" s="231" t="e">
        <f t="shared" si="64"/>
        <v>#DIV/0!</v>
      </c>
      <c r="H137" s="199">
        <f t="shared" si="79"/>
        <v>2.2690000000000001</v>
      </c>
      <c r="I137" s="276">
        <f t="shared" si="65"/>
        <v>3.4101250907987164</v>
      </c>
      <c r="J137" s="276"/>
      <c r="K137" s="199">
        <f t="shared" si="81"/>
        <v>0.05</v>
      </c>
      <c r="L137" s="288" t="e">
        <f t="shared" si="67"/>
        <v>#DIV/0!</v>
      </c>
      <c r="M137" s="286" t="e">
        <f>0.01*FORMAT_HAR_V!BW21*C137*1000</f>
        <v>#DIV/0!</v>
      </c>
      <c r="N137" s="231" t="e">
        <f t="shared" si="68"/>
        <v>#DIV/0!</v>
      </c>
      <c r="O137" s="199">
        <f t="shared" si="80"/>
        <v>2.2690000000000001</v>
      </c>
      <c r="P137" s="276">
        <f t="shared" si="69"/>
        <v>3.4101250907987164</v>
      </c>
      <c r="Q137" s="276"/>
      <c r="R137" s="199">
        <f t="shared" si="82"/>
        <v>0.05</v>
      </c>
      <c r="S137" s="288" t="e">
        <f t="shared" si="71"/>
        <v>#DIV/0!</v>
      </c>
      <c r="T137" s="541" t="e">
        <f t="shared" si="72"/>
        <v>#DIV/0!</v>
      </c>
      <c r="U137" s="312">
        <f t="shared" si="73"/>
        <v>5.75</v>
      </c>
      <c r="V137" s="458">
        <f t="shared" si="74"/>
        <v>57.499999999999993</v>
      </c>
      <c r="W137" s="319" t="e">
        <f t="shared" si="75"/>
        <v>#DIV/0!</v>
      </c>
      <c r="X137" s="467" t="e">
        <f t="shared" si="76"/>
        <v>#DIV/0!</v>
      </c>
      <c r="Y137" s="463" t="e">
        <f t="shared" si="77"/>
        <v>#DIV/0!</v>
      </c>
      <c r="Z137" s="316" t="e">
        <f t="shared" si="78"/>
        <v>#DIV/0!</v>
      </c>
    </row>
    <row r="138" spans="1:26" ht="12.9" customHeight="1">
      <c r="A138" s="152">
        <f t="shared" si="63"/>
        <v>900</v>
      </c>
      <c r="B138" s="50">
        <v>18</v>
      </c>
      <c r="C138" s="48">
        <f>FORMAT_HAR_V!C22</f>
        <v>0.88800000000000001</v>
      </c>
      <c r="D138" s="508" t="e">
        <f>FORMAT_HAR_V!BZ22</f>
        <v>#DIV/0!</v>
      </c>
      <c r="E138" s="459" t="e">
        <f>FORMAT_HAR_V!CC22</f>
        <v>#DIV/0!</v>
      </c>
      <c r="F138" s="286" t="e">
        <f>0.01*FORMAT_HAR_V!AM22*C138*1000</f>
        <v>#DIV/0!</v>
      </c>
      <c r="G138" s="231" t="e">
        <f t="shared" si="64"/>
        <v>#DIV/0!</v>
      </c>
      <c r="H138" s="199">
        <f>1000*(0.000451*C138+0.0022)</f>
        <v>2.6004880000000004</v>
      </c>
      <c r="I138" s="276">
        <f t="shared" si="65"/>
        <v>2.6332096353297914</v>
      </c>
      <c r="J138" s="276"/>
      <c r="K138" s="199">
        <f t="shared" si="81"/>
        <v>0.05</v>
      </c>
      <c r="L138" s="288" t="e">
        <f t="shared" si="67"/>
        <v>#DIV/0!</v>
      </c>
      <c r="M138" s="286" t="e">
        <f>0.01*FORMAT_HAR_V!BW22*C138*1000</f>
        <v>#DIV/0!</v>
      </c>
      <c r="N138" s="231" t="e">
        <f t="shared" si="68"/>
        <v>#DIV/0!</v>
      </c>
      <c r="O138" s="199">
        <f>1000*(0.000451*C138+0.0022)</f>
        <v>2.6004880000000004</v>
      </c>
      <c r="P138" s="276">
        <f t="shared" si="69"/>
        <v>2.6332096353297914</v>
      </c>
      <c r="Q138" s="276"/>
      <c r="R138" s="199">
        <f t="shared" si="82"/>
        <v>0.05</v>
      </c>
      <c r="S138" s="288" t="e">
        <f t="shared" si="71"/>
        <v>#DIV/0!</v>
      </c>
      <c r="T138" s="541" t="e">
        <f t="shared" si="72"/>
        <v>#DIV/0!</v>
      </c>
      <c r="U138" s="312">
        <f t="shared" si="73"/>
        <v>4.4400000000000004</v>
      </c>
      <c r="V138" s="458">
        <f t="shared" si="74"/>
        <v>44.4</v>
      </c>
      <c r="W138" s="319" t="e">
        <f t="shared" si="75"/>
        <v>#DIV/0!</v>
      </c>
      <c r="X138" s="467" t="e">
        <f t="shared" si="76"/>
        <v>#DIV/0!</v>
      </c>
      <c r="Y138" s="463" t="e">
        <f t="shared" si="77"/>
        <v>#DIV/0!</v>
      </c>
      <c r="Z138" s="316" t="e">
        <f t="shared" si="78"/>
        <v>#DIV/0!</v>
      </c>
    </row>
    <row r="139" spans="1:26" ht="12.9" customHeight="1">
      <c r="A139" s="152">
        <f t="shared" si="63"/>
        <v>950</v>
      </c>
      <c r="B139" s="50">
        <v>19</v>
      </c>
      <c r="C139" s="48">
        <f>FORMAT_HAR_V!C23</f>
        <v>1.03</v>
      </c>
      <c r="D139" s="508" t="e">
        <f>FORMAT_HAR_V!BZ23</f>
        <v>#DIV/0!</v>
      </c>
      <c r="E139" s="459" t="e">
        <f>FORMAT_HAR_V!CC23</f>
        <v>#DIV/0!</v>
      </c>
      <c r="F139" s="286" t="e">
        <f>0.01*FORMAT_HAR_V!AM23*C139*1000</f>
        <v>#DIV/0!</v>
      </c>
      <c r="G139" s="231" t="e">
        <f t="shared" si="64"/>
        <v>#DIV/0!</v>
      </c>
      <c r="H139" s="199">
        <f t="shared" ref="H139:H170" si="83">1000*(0.000451*C139+0.0022)</f>
        <v>2.6645300000000001</v>
      </c>
      <c r="I139" s="276">
        <f t="shared" si="65"/>
        <v>3.0542859508892848</v>
      </c>
      <c r="J139" s="276"/>
      <c r="K139" s="199">
        <f t="shared" si="81"/>
        <v>0.05</v>
      </c>
      <c r="L139" s="288" t="e">
        <f t="shared" si="67"/>
        <v>#DIV/0!</v>
      </c>
      <c r="M139" s="286" t="e">
        <f>0.01*FORMAT_HAR_V!BW23*C139*1000</f>
        <v>#DIV/0!</v>
      </c>
      <c r="N139" s="231" t="e">
        <f t="shared" si="68"/>
        <v>#DIV/0!</v>
      </c>
      <c r="O139" s="199">
        <f t="shared" ref="O139:O170" si="84">1000*(0.000451*C139+0.0022)</f>
        <v>2.6645300000000001</v>
      </c>
      <c r="P139" s="276">
        <f t="shared" si="69"/>
        <v>3.0542859508892848</v>
      </c>
      <c r="Q139" s="276"/>
      <c r="R139" s="199">
        <f t="shared" si="82"/>
        <v>0.05</v>
      </c>
      <c r="S139" s="288" t="e">
        <f t="shared" si="71"/>
        <v>#DIV/0!</v>
      </c>
      <c r="T139" s="541" t="e">
        <f t="shared" si="72"/>
        <v>#DIV/0!</v>
      </c>
      <c r="U139" s="312">
        <f t="shared" si="73"/>
        <v>5.15</v>
      </c>
      <c r="V139" s="458">
        <f t="shared" si="74"/>
        <v>51.500000000000007</v>
      </c>
      <c r="W139" s="319" t="e">
        <f t="shared" si="75"/>
        <v>#DIV/0!</v>
      </c>
      <c r="X139" s="467" t="e">
        <f t="shared" si="76"/>
        <v>#DIV/0!</v>
      </c>
      <c r="Y139" s="463" t="e">
        <f t="shared" si="77"/>
        <v>#DIV/0!</v>
      </c>
      <c r="Z139" s="316" t="e">
        <f t="shared" si="78"/>
        <v>#DIV/0!</v>
      </c>
    </row>
    <row r="140" spans="1:26" ht="12.9" customHeight="1">
      <c r="A140" s="152">
        <f t="shared" si="63"/>
        <v>1000</v>
      </c>
      <c r="B140" s="50">
        <v>20</v>
      </c>
      <c r="C140" s="48">
        <f>FORMAT_HAR_V!C24</f>
        <v>0.8</v>
      </c>
      <c r="D140" s="508" t="e">
        <f>FORMAT_HAR_V!BZ24</f>
        <v>#DIV/0!</v>
      </c>
      <c r="E140" s="459" t="e">
        <f>FORMAT_HAR_V!CC24</f>
        <v>#DIV/0!</v>
      </c>
      <c r="F140" s="286" t="e">
        <f>0.01*FORMAT_HAR_V!AM24*C140*1000</f>
        <v>#DIV/0!</v>
      </c>
      <c r="G140" s="231" t="e">
        <f t="shared" si="64"/>
        <v>#DIV/0!</v>
      </c>
      <c r="H140" s="199">
        <f t="shared" si="83"/>
        <v>2.5608000000000004</v>
      </c>
      <c r="I140" s="276">
        <f t="shared" si="65"/>
        <v>2.3722609327295419</v>
      </c>
      <c r="J140" s="276"/>
      <c r="K140" s="199">
        <f t="shared" si="81"/>
        <v>0.05</v>
      </c>
      <c r="L140" s="288" t="e">
        <f t="shared" si="67"/>
        <v>#DIV/0!</v>
      </c>
      <c r="M140" s="286" t="e">
        <f>0.01*FORMAT_HAR_V!BW24*C140*1000</f>
        <v>#DIV/0!</v>
      </c>
      <c r="N140" s="231" t="e">
        <f t="shared" si="68"/>
        <v>#DIV/0!</v>
      </c>
      <c r="O140" s="199">
        <f t="shared" si="84"/>
        <v>2.5608000000000004</v>
      </c>
      <c r="P140" s="276">
        <f t="shared" si="69"/>
        <v>2.3722609327295419</v>
      </c>
      <c r="Q140" s="276"/>
      <c r="R140" s="199">
        <f t="shared" si="82"/>
        <v>0.05</v>
      </c>
      <c r="S140" s="288" t="e">
        <f t="shared" si="71"/>
        <v>#DIV/0!</v>
      </c>
      <c r="T140" s="541" t="e">
        <f t="shared" si="72"/>
        <v>#DIV/0!</v>
      </c>
      <c r="U140" s="312">
        <f t="shared" si="73"/>
        <v>4</v>
      </c>
      <c r="V140" s="458">
        <f t="shared" si="74"/>
        <v>40.000000000000007</v>
      </c>
      <c r="W140" s="319" t="e">
        <f t="shared" si="75"/>
        <v>#DIV/0!</v>
      </c>
      <c r="X140" s="467" t="e">
        <f t="shared" si="76"/>
        <v>#DIV/0!</v>
      </c>
      <c r="Y140" s="463" t="e">
        <f t="shared" si="77"/>
        <v>#DIV/0!</v>
      </c>
      <c r="Z140" s="316" t="e">
        <f t="shared" si="78"/>
        <v>#DIV/0!</v>
      </c>
    </row>
    <row r="141" spans="1:26" ht="12.9" customHeight="1">
      <c r="A141" s="152">
        <f t="shared" si="63"/>
        <v>1050</v>
      </c>
      <c r="B141" s="50">
        <v>21</v>
      </c>
      <c r="C141" s="48">
        <f>FORMAT_HAR_V!C25</f>
        <v>0.93200000000000005</v>
      </c>
      <c r="D141" s="508" t="e">
        <f>FORMAT_HAR_V!BZ25</f>
        <v>#DIV/0!</v>
      </c>
      <c r="E141" s="459" t="e">
        <f>FORMAT_HAR_V!CC25</f>
        <v>#DIV/0!</v>
      </c>
      <c r="F141" s="286" t="e">
        <f>0.01*FORMAT_HAR_V!AM25*C141*1000</f>
        <v>#DIV/0!</v>
      </c>
      <c r="G141" s="231" t="e">
        <f t="shared" si="64"/>
        <v>#DIV/0!</v>
      </c>
      <c r="H141" s="199">
        <f t="shared" si="83"/>
        <v>2.6203320000000003</v>
      </c>
      <c r="I141" s="276">
        <f t="shared" si="65"/>
        <v>2.7636839866299163</v>
      </c>
      <c r="J141" s="276"/>
      <c r="K141" s="199">
        <f t="shared" si="81"/>
        <v>0.05</v>
      </c>
      <c r="L141" s="288" t="e">
        <f t="shared" si="67"/>
        <v>#DIV/0!</v>
      </c>
      <c r="M141" s="286" t="e">
        <f>0.01*FORMAT_HAR_V!BW25*C141*1000</f>
        <v>#DIV/0!</v>
      </c>
      <c r="N141" s="231" t="e">
        <f t="shared" si="68"/>
        <v>#DIV/0!</v>
      </c>
      <c r="O141" s="199">
        <f t="shared" si="84"/>
        <v>2.6203320000000003</v>
      </c>
      <c r="P141" s="276">
        <f t="shared" si="69"/>
        <v>2.7636839866299163</v>
      </c>
      <c r="Q141" s="276"/>
      <c r="R141" s="199">
        <f t="shared" si="82"/>
        <v>0.05</v>
      </c>
      <c r="S141" s="288" t="e">
        <f t="shared" si="71"/>
        <v>#DIV/0!</v>
      </c>
      <c r="T141" s="541" t="e">
        <f t="shared" si="72"/>
        <v>#DIV/0!</v>
      </c>
      <c r="U141" s="312">
        <f t="shared" si="73"/>
        <v>4.66</v>
      </c>
      <c r="V141" s="458">
        <f t="shared" si="74"/>
        <v>46.6</v>
      </c>
      <c r="W141" s="319" t="e">
        <f t="shared" si="75"/>
        <v>#DIV/0!</v>
      </c>
      <c r="X141" s="467" t="e">
        <f t="shared" si="76"/>
        <v>#DIV/0!</v>
      </c>
      <c r="Y141" s="463" t="e">
        <f t="shared" si="77"/>
        <v>#DIV/0!</v>
      </c>
      <c r="Z141" s="316" t="e">
        <f t="shared" si="78"/>
        <v>#DIV/0!</v>
      </c>
    </row>
    <row r="142" spans="1:26" ht="12.9" customHeight="1">
      <c r="A142" s="152">
        <f t="shared" si="63"/>
        <v>1100</v>
      </c>
      <c r="B142" s="50">
        <v>22</v>
      </c>
      <c r="C142" s="48">
        <f>FORMAT_HAR_V!C26</f>
        <v>0.72799999999999998</v>
      </c>
      <c r="D142" s="508" t="e">
        <f>FORMAT_HAR_V!BZ26</f>
        <v>#DIV/0!</v>
      </c>
      <c r="E142" s="459" t="e">
        <f>FORMAT_HAR_V!CC26</f>
        <v>#DIV/0!</v>
      </c>
      <c r="F142" s="286" t="e">
        <f>0.01*FORMAT_HAR_V!AM26*C142*1000</f>
        <v>#DIV/0!</v>
      </c>
      <c r="G142" s="231" t="e">
        <f t="shared" si="64"/>
        <v>#DIV/0!</v>
      </c>
      <c r="H142" s="199">
        <f t="shared" si="83"/>
        <v>2.5283280000000001</v>
      </c>
      <c r="I142" s="276">
        <f t="shared" si="65"/>
        <v>2.158757448783883</v>
      </c>
      <c r="J142" s="276"/>
      <c r="K142" s="199">
        <f>1000*0.00001/2</f>
        <v>5.0000000000000001E-3</v>
      </c>
      <c r="L142" s="288" t="e">
        <f t="shared" si="67"/>
        <v>#DIV/0!</v>
      </c>
      <c r="M142" s="286" t="e">
        <f>0.01*FORMAT_HAR_V!BW26*C142*1000</f>
        <v>#DIV/0!</v>
      </c>
      <c r="N142" s="231" t="e">
        <f t="shared" si="68"/>
        <v>#DIV/0!</v>
      </c>
      <c r="O142" s="199">
        <f t="shared" si="84"/>
        <v>2.5283280000000001</v>
      </c>
      <c r="P142" s="276">
        <f t="shared" si="69"/>
        <v>2.158757448783883</v>
      </c>
      <c r="Q142" s="276"/>
      <c r="R142" s="199">
        <f>1000*0.00001/2</f>
        <v>5.0000000000000001E-3</v>
      </c>
      <c r="S142" s="288" t="e">
        <f t="shared" si="71"/>
        <v>#DIV/0!</v>
      </c>
      <c r="T142" s="541" t="e">
        <f t="shared" si="72"/>
        <v>#DIV/0!</v>
      </c>
      <c r="U142" s="312">
        <f t="shared" si="73"/>
        <v>3.64</v>
      </c>
      <c r="V142" s="458">
        <f t="shared" si="74"/>
        <v>36.4</v>
      </c>
      <c r="W142" s="319" t="e">
        <f t="shared" si="75"/>
        <v>#DIV/0!</v>
      </c>
      <c r="X142" s="467" t="e">
        <f t="shared" si="76"/>
        <v>#DIV/0!</v>
      </c>
      <c r="Y142" s="463" t="e">
        <f t="shared" si="77"/>
        <v>#DIV/0!</v>
      </c>
      <c r="Z142" s="316" t="e">
        <f t="shared" si="78"/>
        <v>#DIV/0!</v>
      </c>
    </row>
    <row r="143" spans="1:26" ht="12.9" customHeight="1">
      <c r="A143" s="152">
        <f t="shared" si="63"/>
        <v>1150</v>
      </c>
      <c r="B143" s="50">
        <v>23</v>
      </c>
      <c r="C143" s="48">
        <f>FORMAT_HAR_V!C27</f>
        <v>0.84</v>
      </c>
      <c r="D143" s="508" t="e">
        <f>FORMAT_HAR_V!BZ27</f>
        <v>#DIV/0!</v>
      </c>
      <c r="E143" s="459" t="e">
        <f>FORMAT_HAR_V!CC27</f>
        <v>#DIV/0!</v>
      </c>
      <c r="F143" s="286" t="e">
        <f>0.01*FORMAT_HAR_V!AM27*C143*1000</f>
        <v>#DIV/0!</v>
      </c>
      <c r="G143" s="231" t="e">
        <f t="shared" si="64"/>
        <v>#DIV/0!</v>
      </c>
      <c r="H143" s="199">
        <f t="shared" si="83"/>
        <v>2.57884</v>
      </c>
      <c r="I143" s="276">
        <f t="shared" si="65"/>
        <v>2.4908739793660191</v>
      </c>
      <c r="J143" s="276"/>
      <c r="K143" s="199">
        <f>1000*0.0001/2</f>
        <v>0.05</v>
      </c>
      <c r="L143" s="288" t="e">
        <f t="shared" si="67"/>
        <v>#DIV/0!</v>
      </c>
      <c r="M143" s="286" t="e">
        <f>0.01*FORMAT_HAR_V!BW27*C143*1000</f>
        <v>#DIV/0!</v>
      </c>
      <c r="N143" s="231" t="e">
        <f t="shared" si="68"/>
        <v>#DIV/0!</v>
      </c>
      <c r="O143" s="199">
        <f t="shared" si="84"/>
        <v>2.57884</v>
      </c>
      <c r="P143" s="276">
        <f t="shared" si="69"/>
        <v>2.4908739793660191</v>
      </c>
      <c r="Q143" s="276"/>
      <c r="R143" s="199">
        <f>1000*0.0001/2</f>
        <v>0.05</v>
      </c>
      <c r="S143" s="288" t="e">
        <f t="shared" si="71"/>
        <v>#DIV/0!</v>
      </c>
      <c r="T143" s="541" t="e">
        <f t="shared" si="72"/>
        <v>#DIV/0!</v>
      </c>
      <c r="U143" s="312">
        <f t="shared" si="73"/>
        <v>4.2</v>
      </c>
      <c r="V143" s="458">
        <f t="shared" si="74"/>
        <v>42</v>
      </c>
      <c r="W143" s="319" t="e">
        <f t="shared" si="75"/>
        <v>#DIV/0!</v>
      </c>
      <c r="X143" s="467" t="e">
        <f t="shared" si="76"/>
        <v>#DIV/0!</v>
      </c>
      <c r="Y143" s="463" t="e">
        <f t="shared" si="77"/>
        <v>#DIV/0!</v>
      </c>
      <c r="Z143" s="316" t="e">
        <f t="shared" si="78"/>
        <v>#DIV/0!</v>
      </c>
    </row>
    <row r="144" spans="1:26" ht="12.9" customHeight="1">
      <c r="A144" s="152">
        <f t="shared" si="63"/>
        <v>1200</v>
      </c>
      <c r="B144" s="50">
        <v>24</v>
      </c>
      <c r="C144" s="48">
        <f>FORMAT_HAR_V!C28</f>
        <v>0.66600000000000004</v>
      </c>
      <c r="D144" s="508" t="e">
        <f>FORMAT_HAR_V!BZ28</f>
        <v>#DIV/0!</v>
      </c>
      <c r="E144" s="459" t="e">
        <f>FORMAT_HAR_V!CC28</f>
        <v>#DIV/0!</v>
      </c>
      <c r="F144" s="286" t="e">
        <f>0.01*FORMAT_HAR_V!AM28*C144*1000</f>
        <v>#DIV/0!</v>
      </c>
      <c r="G144" s="231" t="e">
        <f t="shared" si="64"/>
        <v>#DIV/0!</v>
      </c>
      <c r="H144" s="199">
        <f t="shared" si="83"/>
        <v>2.5003660000000005</v>
      </c>
      <c r="I144" s="276">
        <f t="shared" si="65"/>
        <v>1.9749072264973435</v>
      </c>
      <c r="J144" s="276"/>
      <c r="K144" s="199">
        <f>1000*0.00001/2</f>
        <v>5.0000000000000001E-3</v>
      </c>
      <c r="L144" s="288" t="e">
        <f t="shared" si="67"/>
        <v>#DIV/0!</v>
      </c>
      <c r="M144" s="286" t="e">
        <f>0.01*FORMAT_HAR_V!BW28*C144*1000</f>
        <v>#DIV/0!</v>
      </c>
      <c r="N144" s="231" t="e">
        <f t="shared" si="68"/>
        <v>#DIV/0!</v>
      </c>
      <c r="O144" s="199">
        <f t="shared" si="84"/>
        <v>2.5003660000000005</v>
      </c>
      <c r="P144" s="276">
        <f t="shared" si="69"/>
        <v>1.9749072264973435</v>
      </c>
      <c r="Q144" s="276"/>
      <c r="R144" s="199">
        <f>1000*0.00001/2</f>
        <v>5.0000000000000001E-3</v>
      </c>
      <c r="S144" s="288" t="e">
        <f t="shared" si="71"/>
        <v>#DIV/0!</v>
      </c>
      <c r="T144" s="541" t="e">
        <f t="shared" si="72"/>
        <v>#DIV/0!</v>
      </c>
      <c r="U144" s="312">
        <f t="shared" si="73"/>
        <v>3.33</v>
      </c>
      <c r="V144" s="458">
        <f t="shared" si="74"/>
        <v>33.300000000000004</v>
      </c>
      <c r="W144" s="319" t="e">
        <f t="shared" si="75"/>
        <v>#DIV/0!</v>
      </c>
      <c r="X144" s="467" t="e">
        <f t="shared" si="76"/>
        <v>#DIV/0!</v>
      </c>
      <c r="Y144" s="463" t="e">
        <f t="shared" si="77"/>
        <v>#DIV/0!</v>
      </c>
      <c r="Z144" s="316" t="e">
        <f t="shared" si="78"/>
        <v>#DIV/0!</v>
      </c>
    </row>
    <row r="145" spans="1:26" ht="12.9" customHeight="1">
      <c r="A145" s="152">
        <f t="shared" si="63"/>
        <v>1250</v>
      </c>
      <c r="B145" s="50">
        <v>25</v>
      </c>
      <c r="C145" s="48">
        <f>FORMAT_HAR_V!C29</f>
        <v>0.78200000000000003</v>
      </c>
      <c r="D145" s="508" t="e">
        <f>FORMAT_HAR_V!BZ29</f>
        <v>#DIV/0!</v>
      </c>
      <c r="E145" s="459" t="e">
        <f>FORMAT_HAR_V!CC29</f>
        <v>#DIV/0!</v>
      </c>
      <c r="F145" s="286" t="e">
        <f>0.01*FORMAT_HAR_V!AM29*C145*1000</f>
        <v>#DIV/0!</v>
      </c>
      <c r="G145" s="231" t="e">
        <f t="shared" si="64"/>
        <v>#DIV/0!</v>
      </c>
      <c r="H145" s="199">
        <f t="shared" si="83"/>
        <v>2.5526820000000003</v>
      </c>
      <c r="I145" s="276">
        <f t="shared" si="65"/>
        <v>2.3188850617431274</v>
      </c>
      <c r="J145" s="276"/>
      <c r="K145" s="199">
        <f>1000*0.0001/2</f>
        <v>0.05</v>
      </c>
      <c r="L145" s="288" t="e">
        <f t="shared" si="67"/>
        <v>#DIV/0!</v>
      </c>
      <c r="M145" s="286" t="e">
        <f>0.01*FORMAT_HAR_V!BW29*C145*1000</f>
        <v>#DIV/0!</v>
      </c>
      <c r="N145" s="231" t="e">
        <f t="shared" si="68"/>
        <v>#DIV/0!</v>
      </c>
      <c r="O145" s="199">
        <f t="shared" si="84"/>
        <v>2.5526820000000003</v>
      </c>
      <c r="P145" s="276">
        <f t="shared" si="69"/>
        <v>2.3188850617431274</v>
      </c>
      <c r="Q145" s="276"/>
      <c r="R145" s="199">
        <f>1000*0.0001/2</f>
        <v>0.05</v>
      </c>
      <c r="S145" s="288" t="e">
        <f t="shared" si="71"/>
        <v>#DIV/0!</v>
      </c>
      <c r="T145" s="541" t="e">
        <f t="shared" si="72"/>
        <v>#DIV/0!</v>
      </c>
      <c r="U145" s="312">
        <f t="shared" si="73"/>
        <v>3.91</v>
      </c>
      <c r="V145" s="458">
        <f t="shared" si="74"/>
        <v>39.1</v>
      </c>
      <c r="W145" s="319" t="e">
        <f t="shared" si="75"/>
        <v>#DIV/0!</v>
      </c>
      <c r="X145" s="467" t="e">
        <f t="shared" si="76"/>
        <v>#DIV/0!</v>
      </c>
      <c r="Y145" s="463" t="e">
        <f t="shared" si="77"/>
        <v>#DIV/0!</v>
      </c>
      <c r="Z145" s="316" t="e">
        <f t="shared" si="78"/>
        <v>#DIV/0!</v>
      </c>
    </row>
    <row r="146" spans="1:26" ht="12.9" customHeight="1">
      <c r="A146" s="152">
        <f t="shared" si="63"/>
        <v>1300</v>
      </c>
      <c r="B146" s="50">
        <v>26</v>
      </c>
      <c r="C146" s="48">
        <f>FORMAT_HAR_V!C30</f>
        <v>0.61599999999999999</v>
      </c>
      <c r="D146" s="508" t="e">
        <f>FORMAT_HAR_V!BZ30</f>
        <v>#DIV/0!</v>
      </c>
      <c r="E146" s="459" t="e">
        <f>FORMAT_HAR_V!CC30</f>
        <v>#DIV/0!</v>
      </c>
      <c r="F146" s="286" t="e">
        <f>0.01*FORMAT_HAR_V!AM30*C146*1000</f>
        <v>#DIV/0!</v>
      </c>
      <c r="G146" s="231" t="e">
        <f t="shared" si="64"/>
        <v>#DIV/0!</v>
      </c>
      <c r="H146" s="199">
        <f t="shared" si="83"/>
        <v>2.4778160000000002</v>
      </c>
      <c r="I146" s="276">
        <f t="shared" si="65"/>
        <v>1.8266409182017471</v>
      </c>
      <c r="J146" s="276"/>
      <c r="K146" s="199">
        <f>1000*0.00001/2</f>
        <v>5.0000000000000001E-3</v>
      </c>
      <c r="L146" s="288" t="e">
        <f t="shared" si="67"/>
        <v>#DIV/0!</v>
      </c>
      <c r="M146" s="286" t="e">
        <f>0.01*FORMAT_HAR_V!BW30*C146*1000</f>
        <v>#DIV/0!</v>
      </c>
      <c r="N146" s="231" t="e">
        <f t="shared" si="68"/>
        <v>#DIV/0!</v>
      </c>
      <c r="O146" s="199">
        <f t="shared" si="84"/>
        <v>2.4778160000000002</v>
      </c>
      <c r="P146" s="276">
        <f t="shared" si="69"/>
        <v>1.8266409182017471</v>
      </c>
      <c r="Q146" s="276"/>
      <c r="R146" s="199">
        <f>1000*0.00001/2</f>
        <v>5.0000000000000001E-3</v>
      </c>
      <c r="S146" s="288" t="e">
        <f t="shared" si="71"/>
        <v>#DIV/0!</v>
      </c>
      <c r="T146" s="541" t="e">
        <f t="shared" si="72"/>
        <v>#DIV/0!</v>
      </c>
      <c r="U146" s="312">
        <f t="shared" si="73"/>
        <v>3.0799999999999996</v>
      </c>
      <c r="V146" s="458">
        <f t="shared" si="74"/>
        <v>30.8</v>
      </c>
      <c r="W146" s="319" t="e">
        <f t="shared" si="75"/>
        <v>#DIV/0!</v>
      </c>
      <c r="X146" s="467" t="e">
        <f t="shared" si="76"/>
        <v>#DIV/0!</v>
      </c>
      <c r="Y146" s="463" t="e">
        <f t="shared" si="77"/>
        <v>#DIV/0!</v>
      </c>
      <c r="Z146" s="316" t="e">
        <f t="shared" si="78"/>
        <v>#DIV/0!</v>
      </c>
    </row>
    <row r="147" spans="1:26" ht="12.9" customHeight="1">
      <c r="A147" s="152">
        <f t="shared" si="63"/>
        <v>1350</v>
      </c>
      <c r="B147" s="50">
        <v>27</v>
      </c>
      <c r="C147" s="48">
        <f>FORMAT_HAR_V!C31</f>
        <v>0.72399999999999998</v>
      </c>
      <c r="D147" s="508" t="e">
        <f>FORMAT_HAR_V!BZ31</f>
        <v>#DIV/0!</v>
      </c>
      <c r="E147" s="459" t="e">
        <f>FORMAT_HAR_V!CC31</f>
        <v>#DIV/0!</v>
      </c>
      <c r="F147" s="286" t="e">
        <f>0.01*FORMAT_HAR_V!AM31*C147*1000</f>
        <v>#DIV/0!</v>
      </c>
      <c r="G147" s="231" t="e">
        <f t="shared" si="64"/>
        <v>#DIV/0!</v>
      </c>
      <c r="H147" s="199">
        <f t="shared" si="83"/>
        <v>2.5265240000000002</v>
      </c>
      <c r="I147" s="276">
        <f t="shared" si="65"/>
        <v>2.1468961441202352</v>
      </c>
      <c r="J147" s="276"/>
      <c r="K147" s="199">
        <f t="shared" ref="K147:K170" si="85">1000*0.00001/2</f>
        <v>5.0000000000000001E-3</v>
      </c>
      <c r="L147" s="288" t="e">
        <f t="shared" si="67"/>
        <v>#DIV/0!</v>
      </c>
      <c r="M147" s="286" t="e">
        <f>0.01*FORMAT_HAR_V!BW31*C147*1000</f>
        <v>#DIV/0!</v>
      </c>
      <c r="N147" s="231" t="e">
        <f t="shared" si="68"/>
        <v>#DIV/0!</v>
      </c>
      <c r="O147" s="199">
        <f t="shared" si="84"/>
        <v>2.5265240000000002</v>
      </c>
      <c r="P147" s="276">
        <f t="shared" si="69"/>
        <v>2.1468961441202352</v>
      </c>
      <c r="Q147" s="276"/>
      <c r="R147" s="199">
        <f t="shared" ref="R147:R170" si="86">1000*0.00001/2</f>
        <v>5.0000000000000001E-3</v>
      </c>
      <c r="S147" s="288" t="e">
        <f t="shared" si="71"/>
        <v>#DIV/0!</v>
      </c>
      <c r="T147" s="541" t="e">
        <f t="shared" si="72"/>
        <v>#DIV/0!</v>
      </c>
      <c r="U147" s="312">
        <f t="shared" si="73"/>
        <v>3.62</v>
      </c>
      <c r="V147" s="458">
        <f t="shared" si="74"/>
        <v>36.200000000000003</v>
      </c>
      <c r="W147" s="319" t="e">
        <f t="shared" si="75"/>
        <v>#DIV/0!</v>
      </c>
      <c r="X147" s="467" t="e">
        <f t="shared" si="76"/>
        <v>#DIV/0!</v>
      </c>
      <c r="Y147" s="463" t="e">
        <f t="shared" si="77"/>
        <v>#DIV/0!</v>
      </c>
      <c r="Z147" s="316" t="e">
        <f t="shared" si="78"/>
        <v>#DIV/0!</v>
      </c>
    </row>
    <row r="148" spans="1:26" ht="12.9" customHeight="1">
      <c r="A148" s="152">
        <f t="shared" si="63"/>
        <v>1400</v>
      </c>
      <c r="B148" s="50">
        <v>28</v>
      </c>
      <c r="C148" s="48">
        <f>FORMAT_HAR_V!C32</f>
        <v>0.57199999999999995</v>
      </c>
      <c r="D148" s="508" t="e">
        <f>FORMAT_HAR_V!BZ32</f>
        <v>#DIV/0!</v>
      </c>
      <c r="E148" s="459" t="e">
        <f>FORMAT_HAR_V!CC32</f>
        <v>#DIV/0!</v>
      </c>
      <c r="F148" s="286" t="e">
        <f>0.01*FORMAT_HAR_V!AM32*C148*1000</f>
        <v>#DIV/0!</v>
      </c>
      <c r="G148" s="231" t="e">
        <f t="shared" si="64"/>
        <v>#DIV/0!</v>
      </c>
      <c r="H148" s="199">
        <f t="shared" si="83"/>
        <v>2.4579720000000003</v>
      </c>
      <c r="I148" s="276">
        <f t="shared" si="65"/>
        <v>1.6961665669016224</v>
      </c>
      <c r="J148" s="276"/>
      <c r="K148" s="199">
        <f t="shared" si="85"/>
        <v>5.0000000000000001E-3</v>
      </c>
      <c r="L148" s="288" t="e">
        <f t="shared" si="67"/>
        <v>#DIV/0!</v>
      </c>
      <c r="M148" s="286" t="e">
        <f>0.01*FORMAT_HAR_V!BW32*C148*1000</f>
        <v>#DIV/0!</v>
      </c>
      <c r="N148" s="231" t="e">
        <f t="shared" si="68"/>
        <v>#DIV/0!</v>
      </c>
      <c r="O148" s="199">
        <f t="shared" si="84"/>
        <v>2.4579720000000003</v>
      </c>
      <c r="P148" s="276">
        <f t="shared" si="69"/>
        <v>1.6961665669016224</v>
      </c>
      <c r="Q148" s="276"/>
      <c r="R148" s="199">
        <f t="shared" si="86"/>
        <v>5.0000000000000001E-3</v>
      </c>
      <c r="S148" s="288" t="e">
        <f t="shared" si="71"/>
        <v>#DIV/0!</v>
      </c>
      <c r="T148" s="541" t="e">
        <f t="shared" si="72"/>
        <v>#DIV/0!</v>
      </c>
      <c r="U148" s="312">
        <f t="shared" si="73"/>
        <v>2.86</v>
      </c>
      <c r="V148" s="458">
        <f>0.0005*57.735*1000</f>
        <v>28.8675</v>
      </c>
      <c r="W148" s="319" t="e">
        <f t="shared" si="75"/>
        <v>#DIV/0!</v>
      </c>
      <c r="X148" s="467" t="e">
        <f t="shared" si="76"/>
        <v>#DIV/0!</v>
      </c>
      <c r="Y148" s="463" t="e">
        <f t="shared" si="77"/>
        <v>#DIV/0!</v>
      </c>
      <c r="Z148" s="316" t="e">
        <f t="shared" si="78"/>
        <v>#DIV/0!</v>
      </c>
    </row>
    <row r="149" spans="1:26" ht="12.9" customHeight="1">
      <c r="A149" s="152">
        <f t="shared" si="63"/>
        <v>1450</v>
      </c>
      <c r="B149" s="50">
        <v>29</v>
      </c>
      <c r="C149" s="48">
        <f>FORMAT_HAR_V!C33</f>
        <v>0.67400000000000004</v>
      </c>
      <c r="D149" s="508" t="e">
        <f>FORMAT_HAR_V!BZ33</f>
        <v>#DIV/0!</v>
      </c>
      <c r="E149" s="459" t="e">
        <f>FORMAT_HAR_V!CC33</f>
        <v>#DIV/0!</v>
      </c>
      <c r="F149" s="286" t="e">
        <f>0.01*FORMAT_HAR_V!AM33*C149*1000</f>
        <v>#DIV/0!</v>
      </c>
      <c r="G149" s="231" t="e">
        <f t="shared" si="64"/>
        <v>#DIV/0!</v>
      </c>
      <c r="H149" s="199">
        <f t="shared" si="83"/>
        <v>2.5039739999999999</v>
      </c>
      <c r="I149" s="276">
        <f t="shared" si="65"/>
        <v>1.998629835824639</v>
      </c>
      <c r="J149" s="276"/>
      <c r="K149" s="199">
        <f t="shared" si="85"/>
        <v>5.0000000000000001E-3</v>
      </c>
      <c r="L149" s="288" t="e">
        <f t="shared" si="67"/>
        <v>#DIV/0!</v>
      </c>
      <c r="M149" s="286" t="e">
        <f>0.01*FORMAT_HAR_V!BW33*C149*1000</f>
        <v>#DIV/0!</v>
      </c>
      <c r="N149" s="231" t="e">
        <f t="shared" si="68"/>
        <v>#DIV/0!</v>
      </c>
      <c r="O149" s="199">
        <f t="shared" si="84"/>
        <v>2.5039739999999999</v>
      </c>
      <c r="P149" s="276">
        <f t="shared" si="69"/>
        <v>1.998629835824639</v>
      </c>
      <c r="Q149" s="276"/>
      <c r="R149" s="199">
        <f t="shared" si="86"/>
        <v>5.0000000000000001E-3</v>
      </c>
      <c r="S149" s="288" t="e">
        <f t="shared" si="71"/>
        <v>#DIV/0!</v>
      </c>
      <c r="T149" s="541" t="e">
        <f t="shared" si="72"/>
        <v>#DIV/0!</v>
      </c>
      <c r="U149" s="312">
        <f t="shared" si="73"/>
        <v>3.37</v>
      </c>
      <c r="V149" s="458">
        <f t="shared" si="74"/>
        <v>33.700000000000003</v>
      </c>
      <c r="W149" s="319" t="e">
        <f t="shared" si="75"/>
        <v>#DIV/0!</v>
      </c>
      <c r="X149" s="467" t="e">
        <f t="shared" si="76"/>
        <v>#DIV/0!</v>
      </c>
      <c r="Y149" s="463" t="e">
        <f t="shared" si="77"/>
        <v>#DIV/0!</v>
      </c>
      <c r="Z149" s="316" t="e">
        <f t="shared" si="78"/>
        <v>#DIV/0!</v>
      </c>
    </row>
    <row r="150" spans="1:26" ht="12.9" customHeight="1">
      <c r="A150" s="152">
        <f t="shared" si="63"/>
        <v>1500</v>
      </c>
      <c r="B150" s="50">
        <v>30</v>
      </c>
      <c r="C150" s="48">
        <f>FORMAT_HAR_V!C34</f>
        <v>0.53400000000000003</v>
      </c>
      <c r="D150" s="508" t="e">
        <f>FORMAT_HAR_V!BZ34</f>
        <v>#DIV/0!</v>
      </c>
      <c r="E150" s="459" t="e">
        <f>FORMAT_HAR_V!CC34</f>
        <v>#DIV/0!</v>
      </c>
      <c r="F150" s="286" t="e">
        <f>0.01*FORMAT_HAR_V!AM34*C150*1000</f>
        <v>#DIV/0!</v>
      </c>
      <c r="G150" s="231" t="e">
        <f t="shared" si="64"/>
        <v>#DIV/0!</v>
      </c>
      <c r="H150" s="199">
        <f t="shared" si="83"/>
        <v>2.4408340000000002</v>
      </c>
      <c r="I150" s="276">
        <f t="shared" si="65"/>
        <v>1.5834841725969693</v>
      </c>
      <c r="J150" s="276"/>
      <c r="K150" s="199">
        <f t="shared" si="85"/>
        <v>5.0000000000000001E-3</v>
      </c>
      <c r="L150" s="288" t="e">
        <f t="shared" si="67"/>
        <v>#DIV/0!</v>
      </c>
      <c r="M150" s="286" t="e">
        <f>0.01*FORMAT_HAR_V!BW34*C150*1000</f>
        <v>#DIV/0!</v>
      </c>
      <c r="N150" s="231" t="e">
        <f t="shared" si="68"/>
        <v>#DIV/0!</v>
      </c>
      <c r="O150" s="199">
        <f t="shared" si="84"/>
        <v>2.4408340000000002</v>
      </c>
      <c r="P150" s="276">
        <f t="shared" si="69"/>
        <v>1.5834841725969693</v>
      </c>
      <c r="Q150" s="276"/>
      <c r="R150" s="199">
        <f t="shared" si="86"/>
        <v>5.0000000000000001E-3</v>
      </c>
      <c r="S150" s="288" t="e">
        <f t="shared" si="71"/>
        <v>#DIV/0!</v>
      </c>
      <c r="T150" s="541" t="e">
        <f t="shared" si="72"/>
        <v>#DIV/0!</v>
      </c>
      <c r="U150" s="312">
        <f t="shared" si="73"/>
        <v>2.67</v>
      </c>
      <c r="V150" s="458">
        <f>0.0005*57.735*1000</f>
        <v>28.8675</v>
      </c>
      <c r="W150" s="319" t="e">
        <f t="shared" si="75"/>
        <v>#DIV/0!</v>
      </c>
      <c r="X150" s="467" t="e">
        <f t="shared" si="76"/>
        <v>#DIV/0!</v>
      </c>
      <c r="Y150" s="463" t="e">
        <f t="shared" si="77"/>
        <v>#DIV/0!</v>
      </c>
      <c r="Z150" s="316" t="e">
        <f t="shared" si="78"/>
        <v>#DIV/0!</v>
      </c>
    </row>
    <row r="151" spans="1:26" ht="12.9" customHeight="1">
      <c r="A151" s="152">
        <f t="shared" si="63"/>
        <v>1550</v>
      </c>
      <c r="B151" s="50">
        <v>31</v>
      </c>
      <c r="C151" s="48">
        <f>FORMAT_HAR_V!C35</f>
        <v>0.63200000000000001</v>
      </c>
      <c r="D151" s="508" t="e">
        <f>FORMAT_HAR_V!BZ35</f>
        <v>#DIV/0!</v>
      </c>
      <c r="E151" s="459" t="e">
        <f>FORMAT_HAR_V!CC35</f>
        <v>#DIV/0!</v>
      </c>
      <c r="F151" s="286" t="e">
        <f>0.01*FORMAT_HAR_V!AM35*C151*1000</f>
        <v>#DIV/0!</v>
      </c>
      <c r="G151" s="231" t="e">
        <f t="shared" si="64"/>
        <v>#DIV/0!</v>
      </c>
      <c r="H151" s="199">
        <f t="shared" si="83"/>
        <v>2.4850320000000004</v>
      </c>
      <c r="I151" s="276">
        <f t="shared" si="65"/>
        <v>1.8740861368563382</v>
      </c>
      <c r="J151" s="276"/>
      <c r="K151" s="199">
        <f t="shared" si="85"/>
        <v>5.0000000000000001E-3</v>
      </c>
      <c r="L151" s="288" t="e">
        <f t="shared" si="67"/>
        <v>#DIV/0!</v>
      </c>
      <c r="M151" s="286" t="e">
        <f>0.01*FORMAT_HAR_V!BW35*C151*1000</f>
        <v>#DIV/0!</v>
      </c>
      <c r="N151" s="231" t="e">
        <f t="shared" si="68"/>
        <v>#DIV/0!</v>
      </c>
      <c r="O151" s="199">
        <f t="shared" si="84"/>
        <v>2.4850320000000004</v>
      </c>
      <c r="P151" s="276">
        <f t="shared" si="69"/>
        <v>1.8740861368563382</v>
      </c>
      <c r="Q151" s="276"/>
      <c r="R151" s="199">
        <f t="shared" si="86"/>
        <v>5.0000000000000001E-3</v>
      </c>
      <c r="S151" s="288" t="e">
        <f t="shared" si="71"/>
        <v>#DIV/0!</v>
      </c>
      <c r="T151" s="541" t="e">
        <f t="shared" si="72"/>
        <v>#DIV/0!</v>
      </c>
      <c r="U151" s="312">
        <f t="shared" si="73"/>
        <v>3.16</v>
      </c>
      <c r="V151" s="458">
        <f t="shared" si="74"/>
        <v>31.6</v>
      </c>
      <c r="W151" s="319" t="e">
        <f t="shared" si="75"/>
        <v>#DIV/0!</v>
      </c>
      <c r="X151" s="467" t="e">
        <f t="shared" si="76"/>
        <v>#DIV/0!</v>
      </c>
      <c r="Y151" s="463" t="e">
        <f t="shared" si="77"/>
        <v>#DIV/0!</v>
      </c>
      <c r="Z151" s="316" t="e">
        <f t="shared" si="78"/>
        <v>#DIV/0!</v>
      </c>
    </row>
    <row r="152" spans="1:26" ht="12.9" customHeight="1">
      <c r="A152" s="152">
        <f t="shared" si="63"/>
        <v>1600</v>
      </c>
      <c r="B152" s="50">
        <v>32</v>
      </c>
      <c r="C152" s="48">
        <f>FORMAT_HAR_V!C36</f>
        <v>0.5</v>
      </c>
      <c r="D152" s="508" t="e">
        <f>FORMAT_HAR_V!BZ36</f>
        <v>#DIV/0!</v>
      </c>
      <c r="E152" s="459" t="e">
        <f>FORMAT_HAR_V!CC36</f>
        <v>#DIV/0!</v>
      </c>
      <c r="F152" s="286" t="e">
        <f>0.01*FORMAT_HAR_V!AM36*C152*1000</f>
        <v>#DIV/0!</v>
      </c>
      <c r="G152" s="231" t="e">
        <f t="shared" si="64"/>
        <v>#DIV/0!</v>
      </c>
      <c r="H152" s="199">
        <f t="shared" si="83"/>
        <v>2.4255</v>
      </c>
      <c r="I152" s="276">
        <f t="shared" si="65"/>
        <v>1.4826630829559637</v>
      </c>
      <c r="J152" s="276"/>
      <c r="K152" s="199">
        <f t="shared" si="85"/>
        <v>5.0000000000000001E-3</v>
      </c>
      <c r="L152" s="288" t="e">
        <f t="shared" si="67"/>
        <v>#DIV/0!</v>
      </c>
      <c r="M152" s="286" t="e">
        <f>0.01*FORMAT_HAR_V!BW36*C152*1000</f>
        <v>#DIV/0!</v>
      </c>
      <c r="N152" s="231" t="e">
        <f t="shared" si="68"/>
        <v>#DIV/0!</v>
      </c>
      <c r="O152" s="199">
        <f t="shared" si="84"/>
        <v>2.4255</v>
      </c>
      <c r="P152" s="276">
        <f t="shared" si="69"/>
        <v>1.4826630829559637</v>
      </c>
      <c r="Q152" s="276"/>
      <c r="R152" s="199">
        <f t="shared" si="86"/>
        <v>5.0000000000000001E-3</v>
      </c>
      <c r="S152" s="288" t="e">
        <f t="shared" si="71"/>
        <v>#DIV/0!</v>
      </c>
      <c r="T152" s="541" t="e">
        <f t="shared" si="72"/>
        <v>#DIV/0!</v>
      </c>
      <c r="U152" s="312">
        <f t="shared" si="73"/>
        <v>2.5</v>
      </c>
      <c r="V152" s="458">
        <f>0.0005*57.735*1000</f>
        <v>28.8675</v>
      </c>
      <c r="W152" s="319" t="e">
        <f t="shared" si="75"/>
        <v>#DIV/0!</v>
      </c>
      <c r="X152" s="467" t="e">
        <f t="shared" si="76"/>
        <v>#DIV/0!</v>
      </c>
      <c r="Y152" s="463" t="e">
        <f t="shared" si="77"/>
        <v>#DIV/0!</v>
      </c>
      <c r="Z152" s="316" t="e">
        <f t="shared" si="78"/>
        <v>#DIV/0!</v>
      </c>
    </row>
    <row r="153" spans="1:26" ht="12.9" customHeight="1">
      <c r="A153" s="152">
        <f t="shared" si="63"/>
        <v>1650</v>
      </c>
      <c r="B153" s="50">
        <v>33</v>
      </c>
      <c r="C153" s="48">
        <f>FORMAT_HAR_V!C37</f>
        <v>0.59199999999999997</v>
      </c>
      <c r="D153" s="508" t="e">
        <f>FORMAT_HAR_V!BZ37</f>
        <v>#DIV/0!</v>
      </c>
      <c r="E153" s="459" t="e">
        <f>FORMAT_HAR_V!CC37</f>
        <v>#DIV/0!</v>
      </c>
      <c r="F153" s="286" t="e">
        <f>0.01*FORMAT_HAR_V!AM37*C153*1000</f>
        <v>#DIV/0!</v>
      </c>
      <c r="G153" s="231" t="e">
        <f t="shared" si="64"/>
        <v>#DIV/0!</v>
      </c>
      <c r="H153" s="199">
        <f t="shared" si="83"/>
        <v>2.4669920000000003</v>
      </c>
      <c r="I153" s="276">
        <f t="shared" si="65"/>
        <v>1.7554730902198612</v>
      </c>
      <c r="J153" s="276"/>
      <c r="K153" s="199">
        <f t="shared" si="85"/>
        <v>5.0000000000000001E-3</v>
      </c>
      <c r="L153" s="288" t="e">
        <f t="shared" si="67"/>
        <v>#DIV/0!</v>
      </c>
      <c r="M153" s="286" t="e">
        <f>0.01*FORMAT_HAR_V!BW37*C153*1000</f>
        <v>#DIV/0!</v>
      </c>
      <c r="N153" s="231" t="e">
        <f t="shared" si="68"/>
        <v>#DIV/0!</v>
      </c>
      <c r="O153" s="199">
        <f t="shared" si="84"/>
        <v>2.4669920000000003</v>
      </c>
      <c r="P153" s="276">
        <f t="shared" si="69"/>
        <v>1.7554730902198612</v>
      </c>
      <c r="Q153" s="276"/>
      <c r="R153" s="199">
        <f t="shared" si="86"/>
        <v>5.0000000000000001E-3</v>
      </c>
      <c r="S153" s="288" t="e">
        <f t="shared" si="71"/>
        <v>#DIV/0!</v>
      </c>
      <c r="T153" s="541" t="e">
        <f t="shared" si="72"/>
        <v>#DIV/0!</v>
      </c>
      <c r="U153" s="312">
        <f t="shared" si="73"/>
        <v>2.96</v>
      </c>
      <c r="V153" s="458">
        <f t="shared" si="74"/>
        <v>29.6</v>
      </c>
      <c r="W153" s="319" t="e">
        <f t="shared" si="75"/>
        <v>#DIV/0!</v>
      </c>
      <c r="X153" s="467" t="e">
        <f t="shared" si="76"/>
        <v>#DIV/0!</v>
      </c>
      <c r="Y153" s="463" t="e">
        <f t="shared" si="77"/>
        <v>#DIV/0!</v>
      </c>
      <c r="Z153" s="316" t="e">
        <f t="shared" si="78"/>
        <v>#DIV/0!</v>
      </c>
    </row>
    <row r="154" spans="1:26" ht="12.9" customHeight="1">
      <c r="A154" s="152">
        <f t="shared" si="63"/>
        <v>1700</v>
      </c>
      <c r="B154" s="50">
        <v>34</v>
      </c>
      <c r="C154" s="48">
        <f>FORMAT_HAR_V!C38</f>
        <v>0.47</v>
      </c>
      <c r="D154" s="508" t="e">
        <f>FORMAT_HAR_V!BZ38</f>
        <v>#DIV/0!</v>
      </c>
      <c r="E154" s="459" t="e">
        <f>FORMAT_HAR_V!CC38</f>
        <v>#DIV/0!</v>
      </c>
      <c r="F154" s="286" t="e">
        <f>0.01*FORMAT_HAR_V!AM38*C154*1000</f>
        <v>#DIV/0!</v>
      </c>
      <c r="G154" s="231" t="e">
        <f t="shared" si="64"/>
        <v>#DIV/0!</v>
      </c>
      <c r="H154" s="199">
        <f t="shared" si="83"/>
        <v>2.4119700000000002</v>
      </c>
      <c r="I154" s="276">
        <f t="shared" si="65"/>
        <v>1.3937032979786059</v>
      </c>
      <c r="J154" s="276"/>
      <c r="K154" s="199">
        <f t="shared" si="85"/>
        <v>5.0000000000000001E-3</v>
      </c>
      <c r="L154" s="288" t="e">
        <f t="shared" si="67"/>
        <v>#DIV/0!</v>
      </c>
      <c r="M154" s="286" t="e">
        <f>0.01*FORMAT_HAR_V!BW38*C154*1000</f>
        <v>#DIV/0!</v>
      </c>
      <c r="N154" s="231" t="e">
        <f t="shared" si="68"/>
        <v>#DIV/0!</v>
      </c>
      <c r="O154" s="199">
        <f t="shared" si="84"/>
        <v>2.4119700000000002</v>
      </c>
      <c r="P154" s="276">
        <f t="shared" si="69"/>
        <v>1.3937032979786059</v>
      </c>
      <c r="Q154" s="276"/>
      <c r="R154" s="199">
        <f t="shared" si="86"/>
        <v>5.0000000000000001E-3</v>
      </c>
      <c r="S154" s="288" t="e">
        <f t="shared" si="71"/>
        <v>#DIV/0!</v>
      </c>
      <c r="T154" s="541" t="e">
        <f t="shared" si="72"/>
        <v>#DIV/0!</v>
      </c>
      <c r="U154" s="312">
        <f t="shared" si="73"/>
        <v>2.35</v>
      </c>
      <c r="V154" s="458">
        <f>0.0005*57.735*1000</f>
        <v>28.8675</v>
      </c>
      <c r="W154" s="319" t="e">
        <f t="shared" si="75"/>
        <v>#DIV/0!</v>
      </c>
      <c r="X154" s="467" t="e">
        <f t="shared" si="76"/>
        <v>#DIV/0!</v>
      </c>
      <c r="Y154" s="463" t="e">
        <f t="shared" si="77"/>
        <v>#DIV/0!</v>
      </c>
      <c r="Z154" s="316" t="e">
        <f t="shared" si="78"/>
        <v>#DIV/0!</v>
      </c>
    </row>
    <row r="155" spans="1:26" ht="12.9" customHeight="1">
      <c r="A155" s="152">
        <f t="shared" si="63"/>
        <v>1750</v>
      </c>
      <c r="B155" s="50">
        <v>35</v>
      </c>
      <c r="C155" s="48">
        <f>FORMAT_HAR_V!C39</f>
        <v>0.56000000000000005</v>
      </c>
      <c r="D155" s="508" t="e">
        <f>FORMAT_HAR_V!BZ39</f>
        <v>#DIV/0!</v>
      </c>
      <c r="E155" s="459" t="e">
        <f>FORMAT_HAR_V!CC39</f>
        <v>#DIV/0!</v>
      </c>
      <c r="F155" s="286" t="e">
        <f>0.01*FORMAT_HAR_V!AM39*C155*1000</f>
        <v>#DIV/0!</v>
      </c>
      <c r="G155" s="231" t="e">
        <f t="shared" si="64"/>
        <v>#DIV/0!</v>
      </c>
      <c r="H155" s="199">
        <f t="shared" si="83"/>
        <v>2.4525600000000005</v>
      </c>
      <c r="I155" s="276">
        <f t="shared" si="65"/>
        <v>1.6605826529106793</v>
      </c>
      <c r="J155" s="276"/>
      <c r="K155" s="199">
        <f t="shared" si="85"/>
        <v>5.0000000000000001E-3</v>
      </c>
      <c r="L155" s="288" t="e">
        <f t="shared" si="67"/>
        <v>#DIV/0!</v>
      </c>
      <c r="M155" s="286" t="e">
        <f>0.01*FORMAT_HAR_V!BW39*C155*1000</f>
        <v>#DIV/0!</v>
      </c>
      <c r="N155" s="231" t="e">
        <f t="shared" si="68"/>
        <v>#DIV/0!</v>
      </c>
      <c r="O155" s="199">
        <f t="shared" si="84"/>
        <v>2.4525600000000005</v>
      </c>
      <c r="P155" s="276">
        <f t="shared" si="69"/>
        <v>1.6605826529106793</v>
      </c>
      <c r="Q155" s="276"/>
      <c r="R155" s="199">
        <f t="shared" si="86"/>
        <v>5.0000000000000001E-3</v>
      </c>
      <c r="S155" s="288" t="e">
        <f t="shared" si="71"/>
        <v>#DIV/0!</v>
      </c>
      <c r="T155" s="541" t="e">
        <f t="shared" si="72"/>
        <v>#DIV/0!</v>
      </c>
      <c r="U155" s="312">
        <f t="shared" si="73"/>
        <v>2.8000000000000003</v>
      </c>
      <c r="V155" s="458">
        <f t="shared" ref="V155:V160" si="87">0.0005*57.735*1000</f>
        <v>28.8675</v>
      </c>
      <c r="W155" s="319" t="e">
        <f t="shared" si="75"/>
        <v>#DIV/0!</v>
      </c>
      <c r="X155" s="467" t="e">
        <f t="shared" si="76"/>
        <v>#DIV/0!</v>
      </c>
      <c r="Y155" s="463" t="e">
        <f t="shared" si="77"/>
        <v>#DIV/0!</v>
      </c>
      <c r="Z155" s="316" t="e">
        <f t="shared" si="78"/>
        <v>#DIV/0!</v>
      </c>
    </row>
    <row r="156" spans="1:26" ht="12.9" customHeight="1">
      <c r="A156" s="152">
        <f t="shared" si="63"/>
        <v>1800</v>
      </c>
      <c r="B156" s="50">
        <v>36</v>
      </c>
      <c r="C156" s="48">
        <f>FORMAT_HAR_V!C40</f>
        <v>0.44400000000000001</v>
      </c>
      <c r="D156" s="508" t="e">
        <f>FORMAT_HAR_V!BZ40</f>
        <v>#DIV/0!</v>
      </c>
      <c r="E156" s="459" t="e">
        <f>FORMAT_HAR_V!CC40</f>
        <v>#DIV/0!</v>
      </c>
      <c r="F156" s="286" t="e">
        <f>0.01*FORMAT_HAR_V!AM40*C156*1000</f>
        <v>#DIV/0!</v>
      </c>
      <c r="G156" s="231" t="e">
        <f t="shared" si="64"/>
        <v>#DIV/0!</v>
      </c>
      <c r="H156" s="199">
        <f t="shared" si="83"/>
        <v>2.4002440000000003</v>
      </c>
      <c r="I156" s="276">
        <f t="shared" si="65"/>
        <v>1.3166048176648957</v>
      </c>
      <c r="J156" s="276"/>
      <c r="K156" s="199">
        <f t="shared" si="85"/>
        <v>5.0000000000000001E-3</v>
      </c>
      <c r="L156" s="288" t="e">
        <f t="shared" si="67"/>
        <v>#DIV/0!</v>
      </c>
      <c r="M156" s="286" t="e">
        <f>0.01*FORMAT_HAR_V!BW40*C156*1000</f>
        <v>#DIV/0!</v>
      </c>
      <c r="N156" s="231" t="e">
        <f t="shared" si="68"/>
        <v>#DIV/0!</v>
      </c>
      <c r="O156" s="199">
        <f t="shared" si="84"/>
        <v>2.4002440000000003</v>
      </c>
      <c r="P156" s="276">
        <f t="shared" si="69"/>
        <v>1.3166048176648957</v>
      </c>
      <c r="Q156" s="276"/>
      <c r="R156" s="199">
        <f t="shared" si="86"/>
        <v>5.0000000000000001E-3</v>
      </c>
      <c r="S156" s="288" t="e">
        <f t="shared" si="71"/>
        <v>#DIV/0!</v>
      </c>
      <c r="T156" s="541" t="e">
        <f t="shared" si="72"/>
        <v>#DIV/0!</v>
      </c>
      <c r="U156" s="312">
        <f t="shared" si="73"/>
        <v>2.2200000000000002</v>
      </c>
      <c r="V156" s="458">
        <f t="shared" si="87"/>
        <v>28.8675</v>
      </c>
      <c r="W156" s="319" t="e">
        <f t="shared" si="75"/>
        <v>#DIV/0!</v>
      </c>
      <c r="X156" s="467" t="e">
        <f t="shared" si="76"/>
        <v>#DIV/0!</v>
      </c>
      <c r="Y156" s="463" t="e">
        <f t="shared" si="77"/>
        <v>#DIV/0!</v>
      </c>
      <c r="Z156" s="316" t="e">
        <f t="shared" si="78"/>
        <v>#DIV/0!</v>
      </c>
    </row>
    <row r="157" spans="1:26" ht="12.9" customHeight="1">
      <c r="A157" s="152">
        <f t="shared" si="63"/>
        <v>1850</v>
      </c>
      <c r="B157" s="50">
        <v>37</v>
      </c>
      <c r="C157" s="48">
        <f>FORMAT_HAR_V!C41</f>
        <v>0.52800000000000002</v>
      </c>
      <c r="D157" s="508" t="e">
        <f>FORMAT_HAR_V!BZ41</f>
        <v>#DIV/0!</v>
      </c>
      <c r="E157" s="459" t="e">
        <f>FORMAT_HAR_V!CC41</f>
        <v>#DIV/0!</v>
      </c>
      <c r="F157" s="286" t="e">
        <f>0.01*FORMAT_HAR_V!AM41*C157*1000</f>
        <v>#DIV/0!</v>
      </c>
      <c r="G157" s="231" t="e">
        <f t="shared" si="64"/>
        <v>#DIV/0!</v>
      </c>
      <c r="H157" s="199">
        <f t="shared" si="83"/>
        <v>2.4381280000000003</v>
      </c>
      <c r="I157" s="276">
        <f t="shared" si="65"/>
        <v>1.5656922156014978</v>
      </c>
      <c r="J157" s="276"/>
      <c r="K157" s="199">
        <f t="shared" si="85"/>
        <v>5.0000000000000001E-3</v>
      </c>
      <c r="L157" s="288" t="e">
        <f t="shared" si="67"/>
        <v>#DIV/0!</v>
      </c>
      <c r="M157" s="286" t="e">
        <f>0.01*FORMAT_HAR_V!BW41*C157*1000</f>
        <v>#DIV/0!</v>
      </c>
      <c r="N157" s="231" t="e">
        <f t="shared" si="68"/>
        <v>#DIV/0!</v>
      </c>
      <c r="O157" s="199">
        <f t="shared" si="84"/>
        <v>2.4381280000000003</v>
      </c>
      <c r="P157" s="276">
        <f t="shared" si="69"/>
        <v>1.5656922156014978</v>
      </c>
      <c r="Q157" s="276"/>
      <c r="R157" s="199">
        <f t="shared" si="86"/>
        <v>5.0000000000000001E-3</v>
      </c>
      <c r="S157" s="288" t="e">
        <f t="shared" si="71"/>
        <v>#DIV/0!</v>
      </c>
      <c r="T157" s="541" t="e">
        <f t="shared" si="72"/>
        <v>#DIV/0!</v>
      </c>
      <c r="U157" s="312">
        <f t="shared" si="73"/>
        <v>2.64</v>
      </c>
      <c r="V157" s="458">
        <f t="shared" si="87"/>
        <v>28.8675</v>
      </c>
      <c r="W157" s="319" t="e">
        <f t="shared" si="75"/>
        <v>#DIV/0!</v>
      </c>
      <c r="X157" s="467" t="e">
        <f t="shared" si="76"/>
        <v>#DIV/0!</v>
      </c>
      <c r="Y157" s="463" t="e">
        <f t="shared" si="77"/>
        <v>#DIV/0!</v>
      </c>
      <c r="Z157" s="316" t="e">
        <f t="shared" si="78"/>
        <v>#DIV/0!</v>
      </c>
    </row>
    <row r="158" spans="1:26" ht="12.9" customHeight="1">
      <c r="A158" s="152">
        <f t="shared" si="63"/>
        <v>1900</v>
      </c>
      <c r="B158" s="50">
        <v>38</v>
      </c>
      <c r="C158" s="48">
        <f>FORMAT_HAR_V!C42</f>
        <v>0.42199999999999999</v>
      </c>
      <c r="D158" s="508" t="e">
        <f>FORMAT_HAR_V!BZ42</f>
        <v>#DIV/0!</v>
      </c>
      <c r="E158" s="459" t="e">
        <f>FORMAT_HAR_V!CC42</f>
        <v>#DIV/0!</v>
      </c>
      <c r="F158" s="286" t="e">
        <f>0.01*FORMAT_HAR_V!AM42*C158*1000</f>
        <v>#DIV/0!</v>
      </c>
      <c r="G158" s="231" t="e">
        <f t="shared" si="64"/>
        <v>#DIV/0!</v>
      </c>
      <c r="H158" s="199">
        <f t="shared" si="83"/>
        <v>2.3903220000000003</v>
      </c>
      <c r="I158" s="276">
        <f t="shared" si="65"/>
        <v>1.2513676420148334</v>
      </c>
      <c r="J158" s="276"/>
      <c r="K158" s="199">
        <f t="shared" si="85"/>
        <v>5.0000000000000001E-3</v>
      </c>
      <c r="L158" s="288" t="e">
        <f t="shared" si="67"/>
        <v>#DIV/0!</v>
      </c>
      <c r="M158" s="286" t="e">
        <f>0.01*FORMAT_HAR_V!BW42*C158*1000</f>
        <v>#DIV/0!</v>
      </c>
      <c r="N158" s="231" t="e">
        <f t="shared" si="68"/>
        <v>#DIV/0!</v>
      </c>
      <c r="O158" s="199">
        <f t="shared" si="84"/>
        <v>2.3903220000000003</v>
      </c>
      <c r="P158" s="276">
        <f t="shared" si="69"/>
        <v>1.2513676420148334</v>
      </c>
      <c r="Q158" s="276"/>
      <c r="R158" s="199">
        <f t="shared" si="86"/>
        <v>5.0000000000000001E-3</v>
      </c>
      <c r="S158" s="288" t="e">
        <f t="shared" si="71"/>
        <v>#DIV/0!</v>
      </c>
      <c r="T158" s="541" t="e">
        <f t="shared" si="72"/>
        <v>#DIV/0!</v>
      </c>
      <c r="U158" s="312">
        <f t="shared" si="73"/>
        <v>2.11</v>
      </c>
      <c r="V158" s="458">
        <f t="shared" si="87"/>
        <v>28.8675</v>
      </c>
      <c r="W158" s="319" t="e">
        <f t="shared" si="75"/>
        <v>#DIV/0!</v>
      </c>
      <c r="X158" s="467" t="e">
        <f t="shared" si="76"/>
        <v>#DIV/0!</v>
      </c>
      <c r="Y158" s="463" t="e">
        <f t="shared" si="77"/>
        <v>#DIV/0!</v>
      </c>
      <c r="Z158" s="316" t="e">
        <f t="shared" si="78"/>
        <v>#DIV/0!</v>
      </c>
    </row>
    <row r="159" spans="1:26" ht="12.9" customHeight="1">
      <c r="A159" s="152">
        <f t="shared" si="63"/>
        <v>1950</v>
      </c>
      <c r="B159" s="50">
        <v>39</v>
      </c>
      <c r="C159" s="48">
        <f>FORMAT_HAR_V!C43</f>
        <v>0.502</v>
      </c>
      <c r="D159" s="508" t="e">
        <f>FORMAT_HAR_V!BZ43</f>
        <v>#DIV/0!</v>
      </c>
      <c r="E159" s="459" t="e">
        <f>FORMAT_HAR_V!CC43</f>
        <v>#DIV/0!</v>
      </c>
      <c r="F159" s="286" t="e">
        <f>0.01*FORMAT_HAR_V!AM43*C159*1000</f>
        <v>#DIV/0!</v>
      </c>
      <c r="G159" s="231" t="e">
        <f t="shared" si="64"/>
        <v>#DIV/0!</v>
      </c>
      <c r="H159" s="199">
        <f t="shared" si="83"/>
        <v>2.4264020000000004</v>
      </c>
      <c r="I159" s="276">
        <f t="shared" si="65"/>
        <v>1.4885937352877876</v>
      </c>
      <c r="J159" s="276"/>
      <c r="K159" s="199">
        <f t="shared" si="85"/>
        <v>5.0000000000000001E-3</v>
      </c>
      <c r="L159" s="288" t="e">
        <f t="shared" si="67"/>
        <v>#DIV/0!</v>
      </c>
      <c r="M159" s="286" t="e">
        <f>0.01*FORMAT_HAR_V!BW43*C159*1000</f>
        <v>#DIV/0!</v>
      </c>
      <c r="N159" s="231" t="e">
        <f t="shared" si="68"/>
        <v>#DIV/0!</v>
      </c>
      <c r="O159" s="199">
        <f t="shared" si="84"/>
        <v>2.4264020000000004</v>
      </c>
      <c r="P159" s="276">
        <f t="shared" si="69"/>
        <v>1.4885937352877876</v>
      </c>
      <c r="Q159" s="276"/>
      <c r="R159" s="199">
        <f t="shared" si="86"/>
        <v>5.0000000000000001E-3</v>
      </c>
      <c r="S159" s="288" t="e">
        <f t="shared" si="71"/>
        <v>#DIV/0!</v>
      </c>
      <c r="T159" s="541" t="e">
        <f t="shared" si="72"/>
        <v>#DIV/0!</v>
      </c>
      <c r="U159" s="312">
        <f t="shared" si="73"/>
        <v>2.5100000000000002</v>
      </c>
      <c r="V159" s="458">
        <f t="shared" si="87"/>
        <v>28.8675</v>
      </c>
      <c r="W159" s="319" t="e">
        <f t="shared" si="75"/>
        <v>#DIV/0!</v>
      </c>
      <c r="X159" s="467" t="e">
        <f t="shared" si="76"/>
        <v>#DIV/0!</v>
      </c>
      <c r="Y159" s="463" t="e">
        <f t="shared" si="77"/>
        <v>#DIV/0!</v>
      </c>
      <c r="Z159" s="316" t="e">
        <f t="shared" si="78"/>
        <v>#DIV/0!</v>
      </c>
    </row>
    <row r="160" spans="1:26" ht="12.9" customHeight="1" thickBot="1">
      <c r="A160" s="512">
        <f t="shared" si="63"/>
        <v>2000</v>
      </c>
      <c r="B160" s="51">
        <v>40</v>
      </c>
      <c r="C160" s="49">
        <f>FORMAT_HAR_V!C44</f>
        <v>0.4</v>
      </c>
      <c r="D160" s="331" t="e">
        <f>FORMAT_HAR_V!BZ44</f>
        <v>#DIV/0!</v>
      </c>
      <c r="E160" s="460" t="e">
        <f>FORMAT_HAR_V!CC44</f>
        <v>#DIV/0!</v>
      </c>
      <c r="F160" s="233" t="e">
        <f>0.01*FORMAT_HAR_V!AM44*C160*1000</f>
        <v>#DIV/0!</v>
      </c>
      <c r="G160" s="212" t="e">
        <f t="shared" si="64"/>
        <v>#DIV/0!</v>
      </c>
      <c r="H160" s="211">
        <f t="shared" si="83"/>
        <v>2.3803999999999998</v>
      </c>
      <c r="I160" s="278">
        <f t="shared" si="65"/>
        <v>1.1861304663647709</v>
      </c>
      <c r="J160" s="278"/>
      <c r="K160" s="211">
        <f t="shared" si="85"/>
        <v>5.0000000000000001E-3</v>
      </c>
      <c r="L160" s="376" t="e">
        <f t="shared" si="67"/>
        <v>#DIV/0!</v>
      </c>
      <c r="M160" s="233" t="e">
        <f>0.01*FORMAT_HAR_V!BW44*C160*1000</f>
        <v>#DIV/0!</v>
      </c>
      <c r="N160" s="212" t="e">
        <f t="shared" si="68"/>
        <v>#DIV/0!</v>
      </c>
      <c r="O160" s="211">
        <f t="shared" si="84"/>
        <v>2.3803999999999998</v>
      </c>
      <c r="P160" s="278">
        <f t="shared" si="69"/>
        <v>1.1861304663647709</v>
      </c>
      <c r="Q160" s="278"/>
      <c r="R160" s="211">
        <f t="shared" si="86"/>
        <v>5.0000000000000001E-3</v>
      </c>
      <c r="S160" s="376" t="e">
        <f t="shared" si="71"/>
        <v>#DIV/0!</v>
      </c>
      <c r="T160" s="542" t="e">
        <f t="shared" si="72"/>
        <v>#DIV/0!</v>
      </c>
      <c r="U160" s="313">
        <f t="shared" si="73"/>
        <v>2</v>
      </c>
      <c r="V160" s="462">
        <f t="shared" si="87"/>
        <v>28.8675</v>
      </c>
      <c r="W160" s="320" t="e">
        <f t="shared" si="75"/>
        <v>#DIV/0!</v>
      </c>
      <c r="X160" s="468" t="e">
        <f t="shared" si="76"/>
        <v>#DIV/0!</v>
      </c>
      <c r="Y160" s="464" t="e">
        <f t="shared" si="77"/>
        <v>#DIV/0!</v>
      </c>
      <c r="Z160" s="317" t="e">
        <f t="shared" si="78"/>
        <v>#DIV/0!</v>
      </c>
    </row>
    <row r="161" spans="1:26" ht="12.9" customHeight="1">
      <c r="A161" s="152">
        <f t="shared" si="63"/>
        <v>2050</v>
      </c>
      <c r="B161" s="50">
        <v>41</v>
      </c>
      <c r="C161" s="48">
        <f>FORMAT_HAR_V!C45</f>
        <v>0.2</v>
      </c>
      <c r="D161" s="509" t="e">
        <f>FORMAT_HAR_V!BZ45</f>
        <v>#DIV/0!</v>
      </c>
      <c r="E161" s="504" t="e">
        <f>FORMAT_HAR_V!CC45</f>
        <v>#DIV/0!</v>
      </c>
      <c r="F161" s="502" t="e">
        <f>0.01*FORMAT_HAR_V!AM45*C161*1000</f>
        <v>#DIV/0!</v>
      </c>
      <c r="G161" s="305" t="e">
        <f t="shared" ref="G161:G170" si="88">F161/10^0.5</f>
        <v>#DIV/0!</v>
      </c>
      <c r="H161" s="199">
        <f t="shared" si="83"/>
        <v>2.2902</v>
      </c>
      <c r="I161" s="276">
        <f t="shared" ref="I161:I170" si="89">1000*C161*$H$174*0.01</f>
        <v>0.24529738195587325</v>
      </c>
      <c r="J161" s="276"/>
      <c r="K161" s="199">
        <f t="shared" si="85"/>
        <v>5.0000000000000001E-3</v>
      </c>
      <c r="L161" s="289" t="e">
        <f t="shared" ref="L161:L170" si="90">2*(G161^2+I161^2/4+J161^2/3+K161^2/3)^0.5</f>
        <v>#DIV/0!</v>
      </c>
      <c r="M161" s="286" t="e">
        <f>0.01*FORMAT_HAR_V!BW45*C161*1000</f>
        <v>#DIV/0!</v>
      </c>
      <c r="N161" s="231" t="e">
        <f t="shared" ref="N161:N170" si="91">M161/10^0.5</f>
        <v>#DIV/0!</v>
      </c>
      <c r="O161" s="199">
        <f t="shared" si="84"/>
        <v>2.2902</v>
      </c>
      <c r="P161" s="276">
        <f t="shared" ref="P161:P170" si="92">1000*C161*$O$174*0.01</f>
        <v>0.24529738195587325</v>
      </c>
      <c r="Q161" s="276"/>
      <c r="R161" s="199">
        <f t="shared" si="86"/>
        <v>5.0000000000000001E-3</v>
      </c>
      <c r="S161" s="289" t="e">
        <f t="shared" ref="S161:S170" si="93">2*(N161^2+P161^2/4+Q161^2/3+R161^2/3)^0.5</f>
        <v>#DIV/0!</v>
      </c>
      <c r="T161" s="530" t="e">
        <f t="shared" si="72"/>
        <v>#DIV/0!</v>
      </c>
      <c r="U161" s="370">
        <f t="shared" si="73"/>
        <v>1</v>
      </c>
      <c r="V161" s="461">
        <f t="shared" ref="V161:V170" si="94">0.0005*57.735*1000</f>
        <v>28.8675</v>
      </c>
      <c r="W161" s="456" t="e">
        <f t="shared" si="75"/>
        <v>#DIV/0!</v>
      </c>
      <c r="X161" s="469" t="e">
        <f t="shared" si="76"/>
        <v>#DIV/0!</v>
      </c>
      <c r="Y161" s="465" t="e">
        <f t="shared" si="77"/>
        <v>#DIV/0!</v>
      </c>
      <c r="Z161" s="362" t="e">
        <f t="shared" si="78"/>
        <v>#DIV/0!</v>
      </c>
    </row>
    <row r="162" spans="1:26" ht="12.9" customHeight="1">
      <c r="A162" s="152">
        <f t="shared" si="63"/>
        <v>2100</v>
      </c>
      <c r="B162" s="50">
        <v>42</v>
      </c>
      <c r="C162" s="48">
        <f>FORMAT_HAR_V!C46</f>
        <v>0.2</v>
      </c>
      <c r="D162" s="509" t="e">
        <f>FORMAT_HAR_V!BZ46</f>
        <v>#DIV/0!</v>
      </c>
      <c r="E162" s="504" t="e">
        <f>FORMAT_HAR_V!CC46</f>
        <v>#DIV/0!</v>
      </c>
      <c r="F162" s="502" t="e">
        <f>0.01*FORMAT_HAR_V!AM46*C162*1000</f>
        <v>#DIV/0!</v>
      </c>
      <c r="G162" s="305" t="e">
        <f t="shared" si="88"/>
        <v>#DIV/0!</v>
      </c>
      <c r="H162" s="199">
        <f t="shared" si="83"/>
        <v>2.2902</v>
      </c>
      <c r="I162" s="276">
        <f t="shared" si="89"/>
        <v>0.24529738195587325</v>
      </c>
      <c r="J162" s="276"/>
      <c r="K162" s="199">
        <f t="shared" si="85"/>
        <v>5.0000000000000001E-3</v>
      </c>
      <c r="L162" s="289" t="e">
        <f t="shared" si="90"/>
        <v>#DIV/0!</v>
      </c>
      <c r="M162" s="286" t="e">
        <f>0.01*FORMAT_HAR_V!BW46*C162*1000</f>
        <v>#DIV/0!</v>
      </c>
      <c r="N162" s="231" t="e">
        <f t="shared" si="91"/>
        <v>#DIV/0!</v>
      </c>
      <c r="O162" s="199">
        <f t="shared" si="84"/>
        <v>2.2902</v>
      </c>
      <c r="P162" s="276">
        <f t="shared" si="92"/>
        <v>0.24529738195587325</v>
      </c>
      <c r="Q162" s="276"/>
      <c r="R162" s="199">
        <f t="shared" si="86"/>
        <v>5.0000000000000001E-3</v>
      </c>
      <c r="S162" s="289" t="e">
        <f t="shared" si="93"/>
        <v>#DIV/0!</v>
      </c>
      <c r="T162" s="541" t="e">
        <f t="shared" si="72"/>
        <v>#DIV/0!</v>
      </c>
      <c r="U162" s="312">
        <f t="shared" si="73"/>
        <v>1</v>
      </c>
      <c r="V162" s="458">
        <f t="shared" si="94"/>
        <v>28.8675</v>
      </c>
      <c r="W162" s="319" t="e">
        <f t="shared" si="75"/>
        <v>#DIV/0!</v>
      </c>
      <c r="X162" s="467" t="e">
        <f t="shared" si="76"/>
        <v>#DIV/0!</v>
      </c>
      <c r="Y162" s="463" t="e">
        <f t="shared" si="77"/>
        <v>#DIV/0!</v>
      </c>
      <c r="Z162" s="316" t="e">
        <f t="shared" si="78"/>
        <v>#DIV/0!</v>
      </c>
    </row>
    <row r="163" spans="1:26" ht="12.9" customHeight="1">
      <c r="A163" s="152">
        <f t="shared" si="63"/>
        <v>2150</v>
      </c>
      <c r="B163" s="50">
        <v>43</v>
      </c>
      <c r="C163" s="48">
        <f>FORMAT_HAR_V!C47</f>
        <v>0.2</v>
      </c>
      <c r="D163" s="509" t="e">
        <f>FORMAT_HAR_V!BZ47</f>
        <v>#DIV/0!</v>
      </c>
      <c r="E163" s="504" t="e">
        <f>FORMAT_HAR_V!CC47</f>
        <v>#DIV/0!</v>
      </c>
      <c r="F163" s="502" t="e">
        <f>0.01*FORMAT_HAR_V!AM47*C163*1000</f>
        <v>#DIV/0!</v>
      </c>
      <c r="G163" s="305" t="e">
        <f t="shared" si="88"/>
        <v>#DIV/0!</v>
      </c>
      <c r="H163" s="199">
        <f t="shared" si="83"/>
        <v>2.2902</v>
      </c>
      <c r="I163" s="276">
        <f t="shared" si="89"/>
        <v>0.24529738195587325</v>
      </c>
      <c r="J163" s="276"/>
      <c r="K163" s="199">
        <f t="shared" si="85"/>
        <v>5.0000000000000001E-3</v>
      </c>
      <c r="L163" s="289" t="e">
        <f t="shared" si="90"/>
        <v>#DIV/0!</v>
      </c>
      <c r="M163" s="286" t="e">
        <f>0.01*FORMAT_HAR_V!BW47*C163*1000</f>
        <v>#DIV/0!</v>
      </c>
      <c r="N163" s="231" t="e">
        <f t="shared" si="91"/>
        <v>#DIV/0!</v>
      </c>
      <c r="O163" s="199">
        <f t="shared" si="84"/>
        <v>2.2902</v>
      </c>
      <c r="P163" s="276">
        <f t="shared" si="92"/>
        <v>0.24529738195587325</v>
      </c>
      <c r="Q163" s="276"/>
      <c r="R163" s="199">
        <f t="shared" si="86"/>
        <v>5.0000000000000001E-3</v>
      </c>
      <c r="S163" s="289" t="e">
        <f t="shared" si="93"/>
        <v>#DIV/0!</v>
      </c>
      <c r="T163" s="541" t="e">
        <f t="shared" si="72"/>
        <v>#DIV/0!</v>
      </c>
      <c r="U163" s="312">
        <f t="shared" si="73"/>
        <v>1</v>
      </c>
      <c r="V163" s="458">
        <f t="shared" si="94"/>
        <v>28.8675</v>
      </c>
      <c r="W163" s="319" t="e">
        <f t="shared" si="75"/>
        <v>#DIV/0!</v>
      </c>
      <c r="X163" s="467" t="e">
        <f t="shared" si="76"/>
        <v>#DIV/0!</v>
      </c>
      <c r="Y163" s="463" t="e">
        <f t="shared" si="77"/>
        <v>#DIV/0!</v>
      </c>
      <c r="Z163" s="316" t="e">
        <f t="shared" si="78"/>
        <v>#DIV/0!</v>
      </c>
    </row>
    <row r="164" spans="1:26" ht="12.9" customHeight="1">
      <c r="A164" s="152">
        <f t="shared" si="63"/>
        <v>2200</v>
      </c>
      <c r="B164" s="50">
        <v>44</v>
      </c>
      <c r="C164" s="48">
        <f>FORMAT_HAR_V!C48</f>
        <v>0.2</v>
      </c>
      <c r="D164" s="509" t="e">
        <f>FORMAT_HAR_V!BZ48</f>
        <v>#DIV/0!</v>
      </c>
      <c r="E164" s="504" t="e">
        <f>FORMAT_HAR_V!CC48</f>
        <v>#DIV/0!</v>
      </c>
      <c r="F164" s="502" t="e">
        <f>0.01*FORMAT_HAR_V!AM48*C164*1000</f>
        <v>#DIV/0!</v>
      </c>
      <c r="G164" s="305" t="e">
        <f t="shared" si="88"/>
        <v>#DIV/0!</v>
      </c>
      <c r="H164" s="199">
        <f t="shared" si="83"/>
        <v>2.2902</v>
      </c>
      <c r="I164" s="276">
        <f t="shared" si="89"/>
        <v>0.24529738195587325</v>
      </c>
      <c r="J164" s="276"/>
      <c r="K164" s="199">
        <f t="shared" si="85"/>
        <v>5.0000000000000001E-3</v>
      </c>
      <c r="L164" s="289" t="e">
        <f t="shared" si="90"/>
        <v>#DIV/0!</v>
      </c>
      <c r="M164" s="286" t="e">
        <f>0.01*FORMAT_HAR_V!BW48*C164*1000</f>
        <v>#DIV/0!</v>
      </c>
      <c r="N164" s="231" t="e">
        <f t="shared" si="91"/>
        <v>#DIV/0!</v>
      </c>
      <c r="O164" s="199">
        <f t="shared" si="84"/>
        <v>2.2902</v>
      </c>
      <c r="P164" s="276">
        <f t="shared" si="92"/>
        <v>0.24529738195587325</v>
      </c>
      <c r="Q164" s="276"/>
      <c r="R164" s="199">
        <f t="shared" si="86"/>
        <v>5.0000000000000001E-3</v>
      </c>
      <c r="S164" s="289" t="e">
        <f t="shared" si="93"/>
        <v>#DIV/0!</v>
      </c>
      <c r="T164" s="541" t="e">
        <f t="shared" si="72"/>
        <v>#DIV/0!</v>
      </c>
      <c r="U164" s="312">
        <f t="shared" si="73"/>
        <v>1</v>
      </c>
      <c r="V164" s="458">
        <f t="shared" si="94"/>
        <v>28.8675</v>
      </c>
      <c r="W164" s="319" t="e">
        <f t="shared" si="75"/>
        <v>#DIV/0!</v>
      </c>
      <c r="X164" s="467" t="e">
        <f t="shared" si="76"/>
        <v>#DIV/0!</v>
      </c>
      <c r="Y164" s="463" t="e">
        <f t="shared" si="77"/>
        <v>#DIV/0!</v>
      </c>
      <c r="Z164" s="316" t="e">
        <f t="shared" si="78"/>
        <v>#DIV/0!</v>
      </c>
    </row>
    <row r="165" spans="1:26" ht="12.9" customHeight="1">
      <c r="A165" s="152">
        <f t="shared" si="63"/>
        <v>2250</v>
      </c>
      <c r="B165" s="50">
        <v>45</v>
      </c>
      <c r="C165" s="48">
        <f>FORMAT_HAR_V!C49</f>
        <v>0.2</v>
      </c>
      <c r="D165" s="509" t="e">
        <f>FORMAT_HAR_V!BZ49</f>
        <v>#DIV/0!</v>
      </c>
      <c r="E165" s="504" t="e">
        <f>FORMAT_HAR_V!CC49</f>
        <v>#DIV/0!</v>
      </c>
      <c r="F165" s="502" t="e">
        <f>0.01*FORMAT_HAR_V!AM49*C165*1000</f>
        <v>#DIV/0!</v>
      </c>
      <c r="G165" s="305" t="e">
        <f t="shared" si="88"/>
        <v>#DIV/0!</v>
      </c>
      <c r="H165" s="199">
        <f t="shared" si="83"/>
        <v>2.2902</v>
      </c>
      <c r="I165" s="276">
        <f t="shared" si="89"/>
        <v>0.24529738195587325</v>
      </c>
      <c r="J165" s="276"/>
      <c r="K165" s="199">
        <f t="shared" si="85"/>
        <v>5.0000000000000001E-3</v>
      </c>
      <c r="L165" s="289" t="e">
        <f t="shared" si="90"/>
        <v>#DIV/0!</v>
      </c>
      <c r="M165" s="286" t="e">
        <f>0.01*FORMAT_HAR_V!BW49*C165*1000</f>
        <v>#DIV/0!</v>
      </c>
      <c r="N165" s="231" t="e">
        <f t="shared" si="91"/>
        <v>#DIV/0!</v>
      </c>
      <c r="O165" s="199">
        <f t="shared" si="84"/>
        <v>2.2902</v>
      </c>
      <c r="P165" s="276">
        <f t="shared" si="92"/>
        <v>0.24529738195587325</v>
      </c>
      <c r="Q165" s="276"/>
      <c r="R165" s="199">
        <f t="shared" si="86"/>
        <v>5.0000000000000001E-3</v>
      </c>
      <c r="S165" s="289" t="e">
        <f t="shared" si="93"/>
        <v>#DIV/0!</v>
      </c>
      <c r="T165" s="541" t="e">
        <f t="shared" si="72"/>
        <v>#DIV/0!</v>
      </c>
      <c r="U165" s="312">
        <f t="shared" si="73"/>
        <v>1</v>
      </c>
      <c r="V165" s="458">
        <f t="shared" si="94"/>
        <v>28.8675</v>
      </c>
      <c r="W165" s="319" t="e">
        <f t="shared" si="75"/>
        <v>#DIV/0!</v>
      </c>
      <c r="X165" s="467" t="e">
        <f t="shared" si="76"/>
        <v>#DIV/0!</v>
      </c>
      <c r="Y165" s="463" t="e">
        <f t="shared" si="77"/>
        <v>#DIV/0!</v>
      </c>
      <c r="Z165" s="316" t="e">
        <f t="shared" si="78"/>
        <v>#DIV/0!</v>
      </c>
    </row>
    <row r="166" spans="1:26" ht="12.9" customHeight="1">
      <c r="A166" s="152">
        <f t="shared" si="63"/>
        <v>2300</v>
      </c>
      <c r="B166" s="50">
        <v>46</v>
      </c>
      <c r="C166" s="48">
        <f>FORMAT_HAR_V!C50</f>
        <v>0.2</v>
      </c>
      <c r="D166" s="509" t="e">
        <f>FORMAT_HAR_V!BZ50</f>
        <v>#DIV/0!</v>
      </c>
      <c r="E166" s="504" t="e">
        <f>FORMAT_HAR_V!CC50</f>
        <v>#DIV/0!</v>
      </c>
      <c r="F166" s="502" t="e">
        <f>0.01*FORMAT_HAR_V!AM50*C166*1000</f>
        <v>#DIV/0!</v>
      </c>
      <c r="G166" s="305" t="e">
        <f t="shared" si="88"/>
        <v>#DIV/0!</v>
      </c>
      <c r="H166" s="199">
        <f t="shared" si="83"/>
        <v>2.2902</v>
      </c>
      <c r="I166" s="276">
        <f t="shared" si="89"/>
        <v>0.24529738195587325</v>
      </c>
      <c r="J166" s="276"/>
      <c r="K166" s="199">
        <f t="shared" si="85"/>
        <v>5.0000000000000001E-3</v>
      </c>
      <c r="L166" s="289" t="e">
        <f t="shared" si="90"/>
        <v>#DIV/0!</v>
      </c>
      <c r="M166" s="286" t="e">
        <f>0.01*FORMAT_HAR_V!BW50*C166*1000</f>
        <v>#DIV/0!</v>
      </c>
      <c r="N166" s="231" t="e">
        <f t="shared" si="91"/>
        <v>#DIV/0!</v>
      </c>
      <c r="O166" s="199">
        <f t="shared" si="84"/>
        <v>2.2902</v>
      </c>
      <c r="P166" s="276">
        <f t="shared" si="92"/>
        <v>0.24529738195587325</v>
      </c>
      <c r="Q166" s="276"/>
      <c r="R166" s="199">
        <f t="shared" si="86"/>
        <v>5.0000000000000001E-3</v>
      </c>
      <c r="S166" s="289" t="e">
        <f t="shared" si="93"/>
        <v>#DIV/0!</v>
      </c>
      <c r="T166" s="541" t="e">
        <f t="shared" si="72"/>
        <v>#DIV/0!</v>
      </c>
      <c r="U166" s="312">
        <f t="shared" si="73"/>
        <v>1</v>
      </c>
      <c r="V166" s="458">
        <f t="shared" si="94"/>
        <v>28.8675</v>
      </c>
      <c r="W166" s="319" t="e">
        <f t="shared" si="75"/>
        <v>#DIV/0!</v>
      </c>
      <c r="X166" s="467" t="e">
        <f t="shared" si="76"/>
        <v>#DIV/0!</v>
      </c>
      <c r="Y166" s="463" t="e">
        <f t="shared" si="77"/>
        <v>#DIV/0!</v>
      </c>
      <c r="Z166" s="316" t="e">
        <f t="shared" si="78"/>
        <v>#DIV/0!</v>
      </c>
    </row>
    <row r="167" spans="1:26" ht="12.9" customHeight="1">
      <c r="A167" s="152">
        <f t="shared" si="63"/>
        <v>2350</v>
      </c>
      <c r="B167" s="50">
        <v>47</v>
      </c>
      <c r="C167" s="48">
        <f>FORMAT_HAR_V!C51</f>
        <v>0.2</v>
      </c>
      <c r="D167" s="509" t="e">
        <f>FORMAT_HAR_V!BZ51</f>
        <v>#DIV/0!</v>
      </c>
      <c r="E167" s="504" t="e">
        <f>FORMAT_HAR_V!CC51</f>
        <v>#DIV/0!</v>
      </c>
      <c r="F167" s="502" t="e">
        <f>0.01*FORMAT_HAR_V!AM51*C167*1000</f>
        <v>#DIV/0!</v>
      </c>
      <c r="G167" s="305" t="e">
        <f t="shared" si="88"/>
        <v>#DIV/0!</v>
      </c>
      <c r="H167" s="199">
        <f t="shared" si="83"/>
        <v>2.2902</v>
      </c>
      <c r="I167" s="276">
        <f t="shared" si="89"/>
        <v>0.24529738195587325</v>
      </c>
      <c r="J167" s="276"/>
      <c r="K167" s="199">
        <f t="shared" si="85"/>
        <v>5.0000000000000001E-3</v>
      </c>
      <c r="L167" s="289" t="e">
        <f t="shared" si="90"/>
        <v>#DIV/0!</v>
      </c>
      <c r="M167" s="286" t="e">
        <f>0.01*FORMAT_HAR_V!BW51*C167*1000</f>
        <v>#DIV/0!</v>
      </c>
      <c r="N167" s="231" t="e">
        <f t="shared" si="91"/>
        <v>#DIV/0!</v>
      </c>
      <c r="O167" s="199">
        <f t="shared" si="84"/>
        <v>2.2902</v>
      </c>
      <c r="P167" s="276">
        <f t="shared" si="92"/>
        <v>0.24529738195587325</v>
      </c>
      <c r="Q167" s="276"/>
      <c r="R167" s="199">
        <f t="shared" si="86"/>
        <v>5.0000000000000001E-3</v>
      </c>
      <c r="S167" s="289" t="e">
        <f t="shared" si="93"/>
        <v>#DIV/0!</v>
      </c>
      <c r="T167" s="541" t="e">
        <f t="shared" si="72"/>
        <v>#DIV/0!</v>
      </c>
      <c r="U167" s="312">
        <f t="shared" si="73"/>
        <v>1</v>
      </c>
      <c r="V167" s="458">
        <f t="shared" si="94"/>
        <v>28.8675</v>
      </c>
      <c r="W167" s="319" t="e">
        <f t="shared" si="75"/>
        <v>#DIV/0!</v>
      </c>
      <c r="X167" s="467" t="e">
        <f t="shared" si="76"/>
        <v>#DIV/0!</v>
      </c>
      <c r="Y167" s="463" t="e">
        <f t="shared" si="77"/>
        <v>#DIV/0!</v>
      </c>
      <c r="Z167" s="316" t="e">
        <f t="shared" si="78"/>
        <v>#DIV/0!</v>
      </c>
    </row>
    <row r="168" spans="1:26" ht="12.9" customHeight="1">
      <c r="A168" s="152">
        <f t="shared" si="63"/>
        <v>2400</v>
      </c>
      <c r="B168" s="50">
        <v>48</v>
      </c>
      <c r="C168" s="48">
        <f>FORMAT_HAR_V!C52</f>
        <v>0.2</v>
      </c>
      <c r="D168" s="509" t="e">
        <f>FORMAT_HAR_V!BZ52</f>
        <v>#DIV/0!</v>
      </c>
      <c r="E168" s="504" t="e">
        <f>FORMAT_HAR_V!CC52</f>
        <v>#DIV/0!</v>
      </c>
      <c r="F168" s="502" t="e">
        <f>0.01*FORMAT_HAR_V!AM52*C168*1000</f>
        <v>#DIV/0!</v>
      </c>
      <c r="G168" s="305" t="e">
        <f t="shared" si="88"/>
        <v>#DIV/0!</v>
      </c>
      <c r="H168" s="199">
        <f t="shared" si="83"/>
        <v>2.2902</v>
      </c>
      <c r="I168" s="276">
        <f t="shared" si="89"/>
        <v>0.24529738195587325</v>
      </c>
      <c r="J168" s="276"/>
      <c r="K168" s="199">
        <f t="shared" si="85"/>
        <v>5.0000000000000001E-3</v>
      </c>
      <c r="L168" s="289" t="e">
        <f t="shared" si="90"/>
        <v>#DIV/0!</v>
      </c>
      <c r="M168" s="286" t="e">
        <f>0.01*FORMAT_HAR_V!BW52*C168*1000</f>
        <v>#DIV/0!</v>
      </c>
      <c r="N168" s="231" t="e">
        <f t="shared" si="91"/>
        <v>#DIV/0!</v>
      </c>
      <c r="O168" s="199">
        <f t="shared" si="84"/>
        <v>2.2902</v>
      </c>
      <c r="P168" s="276">
        <f t="shared" si="92"/>
        <v>0.24529738195587325</v>
      </c>
      <c r="Q168" s="276"/>
      <c r="R168" s="199">
        <f t="shared" si="86"/>
        <v>5.0000000000000001E-3</v>
      </c>
      <c r="S168" s="289" t="e">
        <f t="shared" si="93"/>
        <v>#DIV/0!</v>
      </c>
      <c r="T168" s="541" t="e">
        <f t="shared" si="72"/>
        <v>#DIV/0!</v>
      </c>
      <c r="U168" s="312">
        <f t="shared" si="73"/>
        <v>1</v>
      </c>
      <c r="V168" s="458">
        <f t="shared" si="94"/>
        <v>28.8675</v>
      </c>
      <c r="W168" s="319" t="e">
        <f t="shared" si="75"/>
        <v>#DIV/0!</v>
      </c>
      <c r="X168" s="467" t="e">
        <f t="shared" si="76"/>
        <v>#DIV/0!</v>
      </c>
      <c r="Y168" s="463" t="e">
        <f t="shared" si="77"/>
        <v>#DIV/0!</v>
      </c>
      <c r="Z168" s="316" t="e">
        <f t="shared" si="78"/>
        <v>#DIV/0!</v>
      </c>
    </row>
    <row r="169" spans="1:26" ht="12.9" customHeight="1">
      <c r="A169" s="152">
        <f t="shared" si="63"/>
        <v>2450</v>
      </c>
      <c r="B169" s="50">
        <v>49</v>
      </c>
      <c r="C169" s="48">
        <f>FORMAT_HAR_V!C53</f>
        <v>0.2</v>
      </c>
      <c r="D169" s="509" t="e">
        <f>FORMAT_HAR_V!BZ53</f>
        <v>#DIV/0!</v>
      </c>
      <c r="E169" s="504" t="e">
        <f>FORMAT_HAR_V!CC53</f>
        <v>#DIV/0!</v>
      </c>
      <c r="F169" s="502" t="e">
        <f>0.01*FORMAT_HAR_V!AM53*C169*1000</f>
        <v>#DIV/0!</v>
      </c>
      <c r="G169" s="305" t="e">
        <f t="shared" si="88"/>
        <v>#DIV/0!</v>
      </c>
      <c r="H169" s="199">
        <f t="shared" si="83"/>
        <v>2.2902</v>
      </c>
      <c r="I169" s="276">
        <f t="shared" si="89"/>
        <v>0.24529738195587325</v>
      </c>
      <c r="J169" s="276"/>
      <c r="K169" s="199">
        <f t="shared" si="85"/>
        <v>5.0000000000000001E-3</v>
      </c>
      <c r="L169" s="289" t="e">
        <f t="shared" si="90"/>
        <v>#DIV/0!</v>
      </c>
      <c r="M169" s="286" t="e">
        <f>0.01*FORMAT_HAR_V!BW53*C169*1000</f>
        <v>#DIV/0!</v>
      </c>
      <c r="N169" s="231" t="e">
        <f t="shared" si="91"/>
        <v>#DIV/0!</v>
      </c>
      <c r="O169" s="199">
        <f t="shared" si="84"/>
        <v>2.2902</v>
      </c>
      <c r="P169" s="276">
        <f t="shared" si="92"/>
        <v>0.24529738195587325</v>
      </c>
      <c r="Q169" s="276"/>
      <c r="R169" s="199">
        <f t="shared" si="86"/>
        <v>5.0000000000000001E-3</v>
      </c>
      <c r="S169" s="289" t="e">
        <f t="shared" si="93"/>
        <v>#DIV/0!</v>
      </c>
      <c r="T169" s="541" t="e">
        <f t="shared" si="72"/>
        <v>#DIV/0!</v>
      </c>
      <c r="U169" s="312">
        <f t="shared" si="73"/>
        <v>1</v>
      </c>
      <c r="V169" s="458">
        <f t="shared" si="94"/>
        <v>28.8675</v>
      </c>
      <c r="W169" s="319" t="e">
        <f t="shared" si="75"/>
        <v>#DIV/0!</v>
      </c>
      <c r="X169" s="467" t="e">
        <f t="shared" si="76"/>
        <v>#DIV/0!</v>
      </c>
      <c r="Y169" s="463" t="e">
        <f t="shared" si="77"/>
        <v>#DIV/0!</v>
      </c>
      <c r="Z169" s="316" t="e">
        <f t="shared" si="78"/>
        <v>#DIV/0!</v>
      </c>
    </row>
    <row r="170" spans="1:26" ht="12.9" customHeight="1" thickBot="1">
      <c r="A170" s="512">
        <f t="shared" si="63"/>
        <v>2500</v>
      </c>
      <c r="B170" s="51">
        <v>50</v>
      </c>
      <c r="C170" s="49">
        <f>FORMAT_HAR_V!C54</f>
        <v>0.2</v>
      </c>
      <c r="D170" s="510" t="e">
        <f>FORMAT_HAR_V!BZ54</f>
        <v>#DIV/0!</v>
      </c>
      <c r="E170" s="505" t="e">
        <f>FORMAT_HAR_V!CC54</f>
        <v>#DIV/0!</v>
      </c>
      <c r="F170" s="503" t="e">
        <f>0.01*FORMAT_HAR_V!AM54*C170*1000</f>
        <v>#DIV/0!</v>
      </c>
      <c r="G170" s="499" t="e">
        <f t="shared" si="88"/>
        <v>#DIV/0!</v>
      </c>
      <c r="H170" s="211">
        <f t="shared" si="83"/>
        <v>2.2902</v>
      </c>
      <c r="I170" s="278">
        <f t="shared" si="89"/>
        <v>0.24529738195587325</v>
      </c>
      <c r="J170" s="278"/>
      <c r="K170" s="211">
        <f t="shared" si="85"/>
        <v>5.0000000000000001E-3</v>
      </c>
      <c r="L170" s="284" t="e">
        <f t="shared" si="90"/>
        <v>#DIV/0!</v>
      </c>
      <c r="M170" s="233" t="e">
        <f>0.01*FORMAT_HAR_V!BW54*C170*1000</f>
        <v>#DIV/0!</v>
      </c>
      <c r="N170" s="212" t="e">
        <f t="shared" si="91"/>
        <v>#DIV/0!</v>
      </c>
      <c r="O170" s="211">
        <f t="shared" si="84"/>
        <v>2.2902</v>
      </c>
      <c r="P170" s="359">
        <f t="shared" si="92"/>
        <v>0.24529738195587325</v>
      </c>
      <c r="Q170" s="278"/>
      <c r="R170" s="211">
        <f t="shared" si="86"/>
        <v>5.0000000000000001E-3</v>
      </c>
      <c r="S170" s="284" t="e">
        <f t="shared" si="93"/>
        <v>#DIV/0!</v>
      </c>
      <c r="T170" s="542" t="e">
        <f t="shared" si="72"/>
        <v>#DIV/0!</v>
      </c>
      <c r="U170" s="368">
        <f t="shared" si="73"/>
        <v>1</v>
      </c>
      <c r="V170" s="498">
        <f t="shared" si="94"/>
        <v>28.8675</v>
      </c>
      <c r="W170" s="457" t="e">
        <f t="shared" si="75"/>
        <v>#DIV/0!</v>
      </c>
      <c r="X170" s="470" t="e">
        <f t="shared" si="76"/>
        <v>#DIV/0!</v>
      </c>
      <c r="Y170" s="466" t="e">
        <f t="shared" si="77"/>
        <v>#DIV/0!</v>
      </c>
      <c r="Z170" s="369" t="e">
        <f t="shared" si="78"/>
        <v>#DIV/0!</v>
      </c>
    </row>
    <row r="171" spans="1:26" ht="12.9" customHeight="1">
      <c r="C171" s="277">
        <f>(C121^2+C122^2+C123^2+C124^2+C125^2+C126^2+C127^2+C128^2+C129^2+C130^2+C131^2+C132^2+C133^2+C134^2+C135^2+C136^2+C137^2+C138^2+C139^2+C140^2+C141^2+C142^2+C143^2+C144^2+C145^2+C146^2+C147^2+C148^2+C149^2+C150^2+C151^2+C152^2+C153^2+C154^2+C155^2+C156^2+C157^2+C158^2+C159^2+C160^2)^0.5</f>
        <v>33.161369272091271</v>
      </c>
      <c r="F171" s="206" t="s">
        <v>122</v>
      </c>
      <c r="G171" s="279" t="s">
        <v>98</v>
      </c>
      <c r="H171" s="280">
        <f>SUM(H121:H160)</f>
        <v>98.334275999999988</v>
      </c>
      <c r="N171" s="279" t="s">
        <v>98</v>
      </c>
      <c r="O171" s="280">
        <f>SUM(O121:O160)</f>
        <v>98.334275999999988</v>
      </c>
    </row>
    <row r="172" spans="1:26" ht="12.9" customHeight="1">
      <c r="G172" s="208" t="s">
        <v>51</v>
      </c>
      <c r="H172" s="230">
        <f>0.1*H171/$C$171</f>
        <v>0.29653261659119273</v>
      </c>
      <c r="N172" s="208" t="s">
        <v>51</v>
      </c>
      <c r="O172" s="230">
        <f>0.1*O171/$C$171</f>
        <v>0.29653261659119273</v>
      </c>
    </row>
    <row r="173" spans="1:26" ht="12.9" customHeight="1">
      <c r="C173" s="277">
        <f>(C121^2+C161^2+C162^2+C163^2+C164^2+C165^2+C166^2+C167^2+C168^2+C169^2+C170^2)^0.5</f>
        <v>20.009997501249224</v>
      </c>
      <c r="F173" s="206" t="s">
        <v>123</v>
      </c>
      <c r="G173" s="279" t="s">
        <v>98</v>
      </c>
      <c r="H173" s="280">
        <f>SUM(H161:H170)+H121</f>
        <v>24.541999999999998</v>
      </c>
      <c r="N173" s="279" t="s">
        <v>98</v>
      </c>
      <c r="O173" s="280">
        <f>SUM(O161:O170)+O121</f>
        <v>24.541999999999998</v>
      </c>
    </row>
    <row r="174" spans="1:26" ht="12.9" customHeight="1">
      <c r="G174" s="208" t="s">
        <v>51</v>
      </c>
      <c r="H174" s="230">
        <f>0.1*H173/$C$173</f>
        <v>0.12264869097793663</v>
      </c>
      <c r="N174" s="208" t="s">
        <v>51</v>
      </c>
      <c r="O174" s="230">
        <f>0.1*O173/$C$173</f>
        <v>0.12264869097793663</v>
      </c>
    </row>
  </sheetData>
  <mergeCells count="28">
    <mergeCell ref="B118:E118"/>
    <mergeCell ref="F118:S118"/>
    <mergeCell ref="B119:C119"/>
    <mergeCell ref="D119:E119"/>
    <mergeCell ref="F119:L119"/>
    <mergeCell ref="M119:S119"/>
    <mergeCell ref="B60:E60"/>
    <mergeCell ref="F60:S60"/>
    <mergeCell ref="B61:C61"/>
    <mergeCell ref="D61:E61"/>
    <mergeCell ref="F61:L61"/>
    <mergeCell ref="M61:S61"/>
    <mergeCell ref="B1:S1"/>
    <mergeCell ref="B2:E2"/>
    <mergeCell ref="F2:S2"/>
    <mergeCell ref="B3:C3"/>
    <mergeCell ref="D3:E3"/>
    <mergeCell ref="F3:L3"/>
    <mergeCell ref="M3:S3"/>
    <mergeCell ref="U119:V119"/>
    <mergeCell ref="W119:X119"/>
    <mergeCell ref="Y119:Z119"/>
    <mergeCell ref="U3:V3"/>
    <mergeCell ref="W3:X3"/>
    <mergeCell ref="Y3:Z3"/>
    <mergeCell ref="U61:V61"/>
    <mergeCell ref="W61:X61"/>
    <mergeCell ref="Y61:Z61"/>
  </mergeCells>
  <pageMargins left="0.7" right="0.7" top="0.75" bottom="0.75" header="0.3" footer="0.3"/>
  <ignoredErrors>
    <ignoredError sqref="K8:K29 R8:R29 K66:K87 R66:R87 K124:K145 R124:R144 R145:S147 R153:U156 R148:S152 V32:V37 V148:V153 V90:V94 U145:U147 U148:U152" formula="1"/>
  </ignoredErrors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ayfa14">
    <tabColor rgb="FF00B050"/>
  </sheetPr>
  <dimension ref="A1:AI33"/>
  <sheetViews>
    <sheetView topLeftCell="H1" zoomScale="70" zoomScaleNormal="70" workbookViewId="0">
      <selection activeCell="AC5" sqref="AC5"/>
    </sheetView>
  </sheetViews>
  <sheetFormatPr defaultColWidth="9.109375" defaultRowHeight="11.4"/>
  <cols>
    <col min="1" max="1" width="3.6640625" style="206" customWidth="1"/>
    <col min="2" max="2" width="10.6640625" style="206" customWidth="1"/>
    <col min="3" max="3" width="25.109375" style="206" customWidth="1"/>
    <col min="4" max="4" width="31" style="206" customWidth="1"/>
    <col min="5" max="5" width="28.6640625" style="206" customWidth="1"/>
    <col min="6" max="6" width="19" style="206" customWidth="1"/>
    <col min="7" max="7" width="18.33203125" style="206" customWidth="1"/>
    <col min="8" max="8" width="14.88671875" style="206" customWidth="1"/>
    <col min="9" max="9" width="9.109375" style="206" customWidth="1"/>
    <col min="10" max="10" width="11.88671875" style="206" customWidth="1"/>
    <col min="11" max="13" width="12.109375" style="206" customWidth="1"/>
    <col min="14" max="16" width="9.109375" style="206" customWidth="1"/>
    <col min="17" max="17" width="9.109375" style="206"/>
    <col min="18" max="18" width="14.88671875" style="206" customWidth="1"/>
    <col min="19" max="19" width="9.109375" style="206" customWidth="1"/>
    <col min="20" max="20" width="10" style="206" customWidth="1"/>
    <col min="21" max="21" width="11.88671875" style="206" customWidth="1"/>
    <col min="22" max="22" width="12.6640625" style="206" customWidth="1"/>
    <col min="23" max="26" width="9.109375" style="206" customWidth="1"/>
    <col min="27" max="29" width="9.109375" style="206"/>
    <col min="30" max="30" width="10.88671875" style="206" customWidth="1"/>
    <col min="31" max="31" width="10.44140625" style="206" customWidth="1"/>
    <col min="32" max="32" width="9.109375" style="206"/>
    <col min="33" max="33" width="10.109375" style="206" customWidth="1"/>
    <col min="34" max="16384" width="9.109375" style="206"/>
  </cols>
  <sheetData>
    <row r="1" spans="1:35" ht="19.5" customHeight="1" thickBot="1">
      <c r="A1" s="332"/>
      <c r="B1" s="609" t="s">
        <v>113</v>
      </c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  <c r="Q1" s="609"/>
      <c r="R1" s="609"/>
      <c r="S1" s="609"/>
      <c r="T1" s="609"/>
      <c r="U1" s="609"/>
      <c r="V1" s="609"/>
      <c r="W1" s="609"/>
      <c r="X1" s="609"/>
      <c r="Y1" s="609"/>
      <c r="Z1" s="609"/>
      <c r="AA1" s="609"/>
    </row>
    <row r="2" spans="1:35" s="77" customFormat="1" ht="18" customHeight="1" thickBot="1">
      <c r="B2" s="616" t="s">
        <v>44</v>
      </c>
      <c r="C2" s="617"/>
      <c r="D2" s="617"/>
      <c r="E2" s="617"/>
      <c r="F2" s="617"/>
      <c r="G2" s="618"/>
      <c r="H2" s="619" t="s">
        <v>45</v>
      </c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0"/>
      <c r="U2" s="620"/>
      <c r="V2" s="620"/>
      <c r="W2" s="620"/>
      <c r="X2" s="620"/>
      <c r="Y2" s="620"/>
      <c r="Z2" s="620"/>
      <c r="AA2" s="621"/>
    </row>
    <row r="3" spans="1:35" ht="16.5" customHeight="1" thickBot="1">
      <c r="B3" s="624" t="s">
        <v>46</v>
      </c>
      <c r="C3" s="633"/>
      <c r="D3" s="633"/>
      <c r="E3" s="634"/>
      <c r="F3" s="624" t="s">
        <v>175</v>
      </c>
      <c r="G3" s="634"/>
      <c r="H3" s="654" t="s">
        <v>47</v>
      </c>
      <c r="I3" s="655"/>
      <c r="J3" s="655"/>
      <c r="K3" s="655"/>
      <c r="L3" s="655"/>
      <c r="M3" s="655"/>
      <c r="N3" s="655"/>
      <c r="O3" s="655"/>
      <c r="P3" s="655"/>
      <c r="Q3" s="656"/>
      <c r="R3" s="657" t="s">
        <v>48</v>
      </c>
      <c r="S3" s="658"/>
      <c r="T3" s="658"/>
      <c r="U3" s="658"/>
      <c r="V3" s="658"/>
      <c r="W3" s="658"/>
      <c r="X3" s="658"/>
      <c r="Y3" s="658"/>
      <c r="Z3" s="658"/>
      <c r="AA3" s="659"/>
      <c r="AD3" s="610" t="s">
        <v>112</v>
      </c>
      <c r="AE3" s="611"/>
      <c r="AF3" s="612" t="s">
        <v>107</v>
      </c>
      <c r="AG3" s="613"/>
      <c r="AH3" s="614" t="s">
        <v>108</v>
      </c>
      <c r="AI3" s="615"/>
    </row>
    <row r="4" spans="1:35" ht="13.8" thickBot="1">
      <c r="B4" s="45" t="s">
        <v>14</v>
      </c>
      <c r="C4" s="46" t="s">
        <v>12</v>
      </c>
      <c r="D4" s="46" t="s">
        <v>173</v>
      </c>
      <c r="E4" s="285" t="s">
        <v>174</v>
      </c>
      <c r="F4" s="224" t="s">
        <v>176</v>
      </c>
      <c r="G4" s="520" t="s">
        <v>177</v>
      </c>
      <c r="H4" s="311" t="s">
        <v>49</v>
      </c>
      <c r="I4" s="306" t="s">
        <v>50</v>
      </c>
      <c r="J4" s="306" t="s">
        <v>103</v>
      </c>
      <c r="K4" s="306" t="s">
        <v>101</v>
      </c>
      <c r="L4" s="306" t="s">
        <v>102</v>
      </c>
      <c r="M4" s="306" t="s">
        <v>51</v>
      </c>
      <c r="N4" s="306" t="s">
        <v>52</v>
      </c>
      <c r="O4" s="330" t="s">
        <v>53</v>
      </c>
      <c r="P4" s="307" t="s">
        <v>54</v>
      </c>
      <c r="Q4" s="308" t="s">
        <v>54</v>
      </c>
      <c r="R4" s="311" t="s">
        <v>49</v>
      </c>
      <c r="S4" s="306" t="s">
        <v>50</v>
      </c>
      <c r="T4" s="306" t="s">
        <v>103</v>
      </c>
      <c r="U4" s="306" t="s">
        <v>101</v>
      </c>
      <c r="V4" s="306" t="s">
        <v>102</v>
      </c>
      <c r="W4" s="306" t="s">
        <v>51</v>
      </c>
      <c r="X4" s="306" t="s">
        <v>52</v>
      </c>
      <c r="Y4" s="330" t="s">
        <v>53</v>
      </c>
      <c r="Z4" s="307" t="s">
        <v>54</v>
      </c>
      <c r="AA4" s="308" t="s">
        <v>54</v>
      </c>
      <c r="AB4" s="299" t="s">
        <v>90</v>
      </c>
      <c r="AC4" s="540" t="s">
        <v>54</v>
      </c>
      <c r="AD4" s="314" t="s">
        <v>104</v>
      </c>
      <c r="AE4" s="315" t="s">
        <v>105</v>
      </c>
      <c r="AF4" s="318" t="s">
        <v>47</v>
      </c>
      <c r="AG4" s="455" t="s">
        <v>48</v>
      </c>
      <c r="AH4" s="314" t="s">
        <v>47</v>
      </c>
      <c r="AI4" s="315" t="s">
        <v>48</v>
      </c>
    </row>
    <row r="5" spans="1:35" ht="12.9" customHeight="1">
      <c r="B5" s="234">
        <f>FORMAT_FLK!$B$4</f>
        <v>57.734999999999999</v>
      </c>
      <c r="C5" s="235">
        <f>FORMAT_FLK!$C$4</f>
        <v>8.3330000000000002</v>
      </c>
      <c r="D5" s="235">
        <f>FORMAT_FLK!$D$4</f>
        <v>1</v>
      </c>
      <c r="E5" s="121">
        <f>FORMAT_FLK!$E$4</f>
        <v>2.7240000000000002</v>
      </c>
      <c r="F5" s="326">
        <f>FORMAT_FLK!F4</f>
        <v>0</v>
      </c>
      <c r="G5" s="327">
        <f>FORMAT_FLK!I4</f>
        <v>0</v>
      </c>
      <c r="H5" s="221">
        <v>0</v>
      </c>
      <c r="I5" s="222">
        <f>H5/10^0.5</f>
        <v>0</v>
      </c>
      <c r="J5" s="222">
        <v>0.25</v>
      </c>
      <c r="K5" s="222">
        <f>100*((10+31*C5*0.001)*0.000001+0.00001)/(C5*0.001)</f>
        <v>0.24310960038401536</v>
      </c>
      <c r="L5" s="222">
        <v>2.5000000000000001E-2</v>
      </c>
      <c r="M5" s="222">
        <f>(J5^2+K5^2+L5^2)^0.5</f>
        <v>0.3496101797700914</v>
      </c>
      <c r="N5" s="222">
        <f>M5</f>
        <v>0.3496101797700914</v>
      </c>
      <c r="O5" s="222">
        <f>100*0.0001/2/1</f>
        <v>5.0000000000000001E-3</v>
      </c>
      <c r="P5" s="272">
        <f>2*(I5^2+M5^2/4+N5^2/3+O5^2/3)^0.5</f>
        <v>0.5340695786730818</v>
      </c>
      <c r="Q5" s="272">
        <v>0.6</v>
      </c>
      <c r="R5" s="221">
        <v>0</v>
      </c>
      <c r="S5" s="222">
        <f>R5/10^0.5</f>
        <v>0</v>
      </c>
      <c r="T5" s="222">
        <v>0.25</v>
      </c>
      <c r="U5" s="222">
        <f>100*((10+31*C5*0.001)*0.000001+0.00001)/(C5*0.001)</f>
        <v>0.24310960038401536</v>
      </c>
      <c r="V5" s="222">
        <v>2.5000000000000001E-2</v>
      </c>
      <c r="W5" s="222">
        <f>(T5^2+U5^2+V5^2)^0.5</f>
        <v>0.3496101797700914</v>
      </c>
      <c r="X5" s="222">
        <f>W5</f>
        <v>0.3496101797700914</v>
      </c>
      <c r="Y5" s="222">
        <f>100*0.0001/2/1</f>
        <v>5.0000000000000001E-3</v>
      </c>
      <c r="Z5" s="272">
        <f>2*(S5^2+W5^2/4+X5^2/3+Y5^2/3)^0.5</f>
        <v>0.5340695786730818</v>
      </c>
      <c r="AA5" s="272">
        <v>0.6</v>
      </c>
      <c r="AB5" s="558">
        <f>AA5*0.01*1</f>
        <v>6.0000000000000001E-3</v>
      </c>
      <c r="AC5" s="535">
        <f>IF(AA5&gt;Q5,AA5,Q5)</f>
        <v>0.6</v>
      </c>
      <c r="AD5" s="538">
        <v>0.04</v>
      </c>
      <c r="AE5" s="458">
        <v>0.05</v>
      </c>
      <c r="AF5" s="319" t="b">
        <f>IF(ABS(1-F5)&lt;AD5,TRUE,FALSE)</f>
        <v>0</v>
      </c>
      <c r="AG5" s="528" t="b">
        <f>IF(ABS(1-G5)&lt;AD5,TRUE,FALSE)</f>
        <v>0</v>
      </c>
      <c r="AH5" s="463" t="b">
        <f>IF(ABS(1-F5)&lt;AE5,TRUE,FALSE)</f>
        <v>0</v>
      </c>
      <c r="AI5" s="322" t="b">
        <f>IF(ABS(1-G5)&lt;AE5,TRUE,FALSE)</f>
        <v>0</v>
      </c>
    </row>
    <row r="6" spans="1:35" ht="12.9" customHeight="1">
      <c r="B6" s="236">
        <f>FORMAT_FLK!$B$5</f>
        <v>57.734999999999999</v>
      </c>
      <c r="C6" s="237">
        <f>FORMAT_FLK!$C$5</f>
        <v>16.666</v>
      </c>
      <c r="D6" s="237">
        <f>FORMAT_FLK!$D$5</f>
        <v>2</v>
      </c>
      <c r="E6" s="122">
        <f>FORMAT_FLK!$E$5</f>
        <v>2.2109999999999999</v>
      </c>
      <c r="F6" s="273">
        <f>FORMAT_FLK!F5</f>
        <v>0</v>
      </c>
      <c r="G6" s="298">
        <f>FORMAT_FLK!I5</f>
        <v>0</v>
      </c>
      <c r="H6" s="200">
        <v>0</v>
      </c>
      <c r="I6" s="199">
        <f t="shared" ref="I6:I11" si="0">H6/10^0.5</f>
        <v>0</v>
      </c>
      <c r="J6" s="199">
        <v>0.25</v>
      </c>
      <c r="K6" s="199">
        <f t="shared" ref="K6:K11" si="1">100*((10+31*C6*0.001)*0.000001+0.00001)/(C6*0.001)</f>
        <v>0.12310480019200766</v>
      </c>
      <c r="L6" s="199">
        <v>2.5000000000000001E-2</v>
      </c>
      <c r="M6" s="199">
        <f t="shared" ref="M6:M11" si="2">(J6^2+K6^2+L6^2)^0.5</f>
        <v>0.27978526020917205</v>
      </c>
      <c r="N6" s="222">
        <f t="shared" ref="N6:N11" si="3">M6</f>
        <v>0.27978526020917205</v>
      </c>
      <c r="O6" s="199">
        <f>100*0.0001/2/1</f>
        <v>5.0000000000000001E-3</v>
      </c>
      <c r="P6" s="272">
        <f t="shared" ref="P6:P11" si="4">2*(I6^2+M6^2/4+N6^2/3+O6^2/3)^0.5</f>
        <v>0.42741804002334716</v>
      </c>
      <c r="Q6" s="324">
        <v>0.7</v>
      </c>
      <c r="R6" s="200">
        <v>0</v>
      </c>
      <c r="S6" s="199">
        <f t="shared" ref="S6:S11" si="5">R6/10^0.5</f>
        <v>0</v>
      </c>
      <c r="T6" s="199">
        <v>0.25</v>
      </c>
      <c r="U6" s="222">
        <f t="shared" ref="U6:U11" si="6">100*((10+31*C6*0.001)*0.000001+0.00001)/(C6*0.001)</f>
        <v>0.12310480019200766</v>
      </c>
      <c r="V6" s="199">
        <v>2.5000000000000001E-2</v>
      </c>
      <c r="W6" s="199">
        <f t="shared" ref="W6:W11" si="7">(T6^2+U6^2+V6^2)^0.5</f>
        <v>0.27978526020917205</v>
      </c>
      <c r="X6" s="222">
        <f t="shared" ref="X6:X11" si="8">W6</f>
        <v>0.27978526020917205</v>
      </c>
      <c r="Y6" s="199">
        <f>100*0.0001/2/1</f>
        <v>5.0000000000000001E-3</v>
      </c>
      <c r="Z6" s="272">
        <f t="shared" ref="Z6:Z11" si="9">2*(S6^2+W6^2/4+X6^2/3+Y6^2/3)^0.5</f>
        <v>0.42741804002334716</v>
      </c>
      <c r="AA6" s="324">
        <v>0.7</v>
      </c>
      <c r="AB6" s="273">
        <f t="shared" ref="AB6:AB11" si="10">AA6*0.01*1</f>
        <v>6.9999999999999993E-3</v>
      </c>
      <c r="AC6" s="541">
        <f t="shared" ref="AC6:AC11" si="11">IF(AA6&gt;Q6,AA6,Q6)</f>
        <v>0.7</v>
      </c>
      <c r="AD6" s="538">
        <v>0.04</v>
      </c>
      <c r="AE6" s="458">
        <v>0.05</v>
      </c>
      <c r="AF6" s="319" t="b">
        <f t="shared" ref="AF6:AF11" si="12">IF(ABS(1-F6)&lt;AD6,TRUE,FALSE)</f>
        <v>0</v>
      </c>
      <c r="AG6" s="528" t="b">
        <f t="shared" ref="AG6:AG11" si="13">IF(ABS(1-G6)&lt;AD6,TRUE,FALSE)</f>
        <v>0</v>
      </c>
      <c r="AH6" s="463" t="b">
        <f t="shared" ref="AH6:AH11" si="14">IF(ABS(1-F6)&lt;AE6,TRUE,FALSE)</f>
        <v>0</v>
      </c>
      <c r="AI6" s="322" t="b">
        <f t="shared" ref="AI6:AI11" si="15">IF(ABS(1-G6)&lt;AE6,TRUE,FALSE)</f>
        <v>0</v>
      </c>
    </row>
    <row r="7" spans="1:35" ht="12.9" customHeight="1">
      <c r="B7" s="236">
        <f>FORMAT_FLK!$B$6</f>
        <v>57.734999999999999</v>
      </c>
      <c r="C7" s="237">
        <f>FORMAT_FLK!$C$6</f>
        <v>58.332999999999998</v>
      </c>
      <c r="D7" s="237">
        <f>FORMAT_FLK!$D$6</f>
        <v>7</v>
      </c>
      <c r="E7" s="122">
        <f>FORMAT_FLK!$E$6</f>
        <v>1.4590000000000001</v>
      </c>
      <c r="F7" s="273">
        <f>FORMAT_FLK!F6</f>
        <v>0</v>
      </c>
      <c r="G7" s="298">
        <f>FORMAT_FLK!I6</f>
        <v>0</v>
      </c>
      <c r="H7" s="200">
        <v>0</v>
      </c>
      <c r="I7" s="199">
        <f t="shared" si="0"/>
        <v>0</v>
      </c>
      <c r="J7" s="199">
        <v>0.25</v>
      </c>
      <c r="K7" s="199">
        <f t="shared" si="1"/>
        <v>3.7385910205201177E-2</v>
      </c>
      <c r="L7" s="199">
        <v>2.5000000000000001E-2</v>
      </c>
      <c r="M7" s="199">
        <f t="shared" si="2"/>
        <v>0.25401320099922242</v>
      </c>
      <c r="N7" s="222">
        <f t="shared" si="3"/>
        <v>0.25401320099922242</v>
      </c>
      <c r="O7" s="199">
        <f>100*0.0001/2/1</f>
        <v>5.0000000000000001E-3</v>
      </c>
      <c r="P7" s="272">
        <f t="shared" si="4"/>
        <v>0.38805452536686114</v>
      </c>
      <c r="Q7" s="324">
        <v>0.98</v>
      </c>
      <c r="R7" s="200">
        <v>0</v>
      </c>
      <c r="S7" s="199">
        <f t="shared" si="5"/>
        <v>0</v>
      </c>
      <c r="T7" s="199">
        <v>0.25</v>
      </c>
      <c r="U7" s="222">
        <f t="shared" si="6"/>
        <v>3.7385910205201177E-2</v>
      </c>
      <c r="V7" s="199">
        <v>2.5000000000000001E-2</v>
      </c>
      <c r="W7" s="199">
        <f t="shared" si="7"/>
        <v>0.25401320099922242</v>
      </c>
      <c r="X7" s="222">
        <f t="shared" si="8"/>
        <v>0.25401320099922242</v>
      </c>
      <c r="Y7" s="199">
        <f>100*0.0001/2/1</f>
        <v>5.0000000000000001E-3</v>
      </c>
      <c r="Z7" s="272">
        <f t="shared" si="9"/>
        <v>0.38805452536686114</v>
      </c>
      <c r="AA7" s="324">
        <v>0.98</v>
      </c>
      <c r="AB7" s="273">
        <f t="shared" si="10"/>
        <v>9.7999999999999997E-3</v>
      </c>
      <c r="AC7" s="541">
        <f t="shared" si="11"/>
        <v>0.98</v>
      </c>
      <c r="AD7" s="538">
        <v>0.04</v>
      </c>
      <c r="AE7" s="458">
        <v>0.05</v>
      </c>
      <c r="AF7" s="319" t="b">
        <f t="shared" si="12"/>
        <v>0</v>
      </c>
      <c r="AG7" s="528" t="b">
        <f t="shared" si="13"/>
        <v>0</v>
      </c>
      <c r="AH7" s="463" t="b">
        <f t="shared" si="14"/>
        <v>0</v>
      </c>
      <c r="AI7" s="322" t="b">
        <f t="shared" si="15"/>
        <v>0</v>
      </c>
    </row>
    <row r="8" spans="1:35" ht="12.9" customHeight="1">
      <c r="B8" s="236">
        <f>FORMAT_FLK!$B$7</f>
        <v>57.734999999999999</v>
      </c>
      <c r="C8" s="237">
        <f>FORMAT_FLK!$C$7</f>
        <v>325</v>
      </c>
      <c r="D8" s="237">
        <f>FORMAT_FLK!$D$7</f>
        <v>39</v>
      </c>
      <c r="E8" s="122">
        <f>FORMAT_FLK!$E$7</f>
        <v>0.90600000000000003</v>
      </c>
      <c r="F8" s="274">
        <f>FORMAT_FLK!F7</f>
        <v>0</v>
      </c>
      <c r="G8" s="300">
        <f>FORMAT_FLK!I7</f>
        <v>0</v>
      </c>
      <c r="H8" s="200">
        <v>0</v>
      </c>
      <c r="I8" s="199">
        <f t="shared" si="0"/>
        <v>0</v>
      </c>
      <c r="J8" s="199">
        <v>0.25</v>
      </c>
      <c r="K8" s="199">
        <f t="shared" si="1"/>
        <v>9.2538461538461559E-3</v>
      </c>
      <c r="L8" s="199">
        <v>2.5000000000000001E-2</v>
      </c>
      <c r="M8" s="199">
        <f t="shared" si="2"/>
        <v>0.2514172501413518</v>
      </c>
      <c r="N8" s="222">
        <f t="shared" si="3"/>
        <v>0.2514172501413518</v>
      </c>
      <c r="O8" s="199">
        <f>100*0.001/2/1</f>
        <v>0.05</v>
      </c>
      <c r="P8" s="272">
        <f t="shared" si="4"/>
        <v>0.38836170240317358</v>
      </c>
      <c r="Q8" s="343">
        <v>1.2</v>
      </c>
      <c r="R8" s="200">
        <v>0</v>
      </c>
      <c r="S8" s="199">
        <f t="shared" si="5"/>
        <v>0</v>
      </c>
      <c r="T8" s="199">
        <v>0.25</v>
      </c>
      <c r="U8" s="222">
        <f t="shared" si="6"/>
        <v>9.2538461538461559E-3</v>
      </c>
      <c r="V8" s="199">
        <v>2.5000000000000001E-2</v>
      </c>
      <c r="W8" s="199">
        <f t="shared" si="7"/>
        <v>0.2514172501413518</v>
      </c>
      <c r="X8" s="222">
        <f t="shared" si="8"/>
        <v>0.2514172501413518</v>
      </c>
      <c r="Y8" s="199">
        <f>100*0.001/2/1</f>
        <v>0.05</v>
      </c>
      <c r="Z8" s="272">
        <f t="shared" si="9"/>
        <v>0.38836170240317358</v>
      </c>
      <c r="AA8" s="343">
        <v>1.2</v>
      </c>
      <c r="AB8" s="274">
        <f t="shared" si="10"/>
        <v>1.2E-2</v>
      </c>
      <c r="AC8" s="541">
        <f t="shared" si="11"/>
        <v>1.2</v>
      </c>
      <c r="AD8" s="538">
        <v>0.04</v>
      </c>
      <c r="AE8" s="458">
        <v>0.05</v>
      </c>
      <c r="AF8" s="319" t="b">
        <f t="shared" si="12"/>
        <v>0</v>
      </c>
      <c r="AG8" s="528" t="b">
        <f t="shared" si="13"/>
        <v>0</v>
      </c>
      <c r="AH8" s="463" t="b">
        <f t="shared" si="14"/>
        <v>0</v>
      </c>
      <c r="AI8" s="322" t="b">
        <f t="shared" si="15"/>
        <v>0</v>
      </c>
    </row>
    <row r="9" spans="1:35" ht="12.9" customHeight="1">
      <c r="B9" s="236">
        <f>FORMAT_FLK!$B$8</f>
        <v>57.734999999999999</v>
      </c>
      <c r="C9" s="237">
        <f>FORMAT_FLK!$C$8</f>
        <v>916.66700000000003</v>
      </c>
      <c r="D9" s="237">
        <f>FORMAT_FLK!$D$8</f>
        <v>110</v>
      </c>
      <c r="E9" s="122">
        <f>FORMAT_FLK!$E$8</f>
        <v>0.72499999999999998</v>
      </c>
      <c r="F9" s="274">
        <f>FORMAT_FLK!F8</f>
        <v>0</v>
      </c>
      <c r="G9" s="300">
        <f>FORMAT_FLK!I8</f>
        <v>0</v>
      </c>
      <c r="H9" s="200">
        <v>0</v>
      </c>
      <c r="I9" s="199">
        <f t="shared" si="0"/>
        <v>0</v>
      </c>
      <c r="J9" s="199">
        <v>0.25</v>
      </c>
      <c r="K9" s="199">
        <f t="shared" si="1"/>
        <v>5.2818173884300402E-3</v>
      </c>
      <c r="L9" s="199">
        <v>2.5000000000000001E-2</v>
      </c>
      <c r="M9" s="199">
        <f t="shared" si="2"/>
        <v>0.25130240268434506</v>
      </c>
      <c r="N9" s="222">
        <f t="shared" si="3"/>
        <v>0.25130240268434506</v>
      </c>
      <c r="O9" s="199">
        <f>100*0.001/2/1</f>
        <v>0.05</v>
      </c>
      <c r="P9" s="272">
        <f t="shared" si="4"/>
        <v>0.38818822031091782</v>
      </c>
      <c r="Q9" s="343">
        <v>1.5</v>
      </c>
      <c r="R9" s="200">
        <v>0</v>
      </c>
      <c r="S9" s="199">
        <f t="shared" si="5"/>
        <v>0</v>
      </c>
      <c r="T9" s="199">
        <v>0.25</v>
      </c>
      <c r="U9" s="222">
        <f t="shared" si="6"/>
        <v>5.2818173884300402E-3</v>
      </c>
      <c r="V9" s="199">
        <v>2.5000000000000001E-2</v>
      </c>
      <c r="W9" s="199">
        <f t="shared" si="7"/>
        <v>0.25130240268434506</v>
      </c>
      <c r="X9" s="222">
        <f t="shared" si="8"/>
        <v>0.25130240268434506</v>
      </c>
      <c r="Y9" s="199">
        <f>100*0.001/2/1</f>
        <v>0.05</v>
      </c>
      <c r="Z9" s="272">
        <f t="shared" si="9"/>
        <v>0.38818822031091782</v>
      </c>
      <c r="AA9" s="343">
        <v>1.5</v>
      </c>
      <c r="AB9" s="274">
        <f t="shared" si="10"/>
        <v>1.4999999999999999E-2</v>
      </c>
      <c r="AC9" s="541">
        <f t="shared" si="11"/>
        <v>1.5</v>
      </c>
      <c r="AD9" s="538">
        <v>0.04</v>
      </c>
      <c r="AE9" s="458">
        <v>0.05</v>
      </c>
      <c r="AF9" s="319" t="b">
        <f t="shared" si="12"/>
        <v>0</v>
      </c>
      <c r="AG9" s="528" t="b">
        <f t="shared" si="13"/>
        <v>0</v>
      </c>
      <c r="AH9" s="463" t="b">
        <f t="shared" si="14"/>
        <v>0</v>
      </c>
      <c r="AI9" s="322" t="b">
        <f t="shared" si="15"/>
        <v>0</v>
      </c>
    </row>
    <row r="10" spans="1:35" ht="12.9" customHeight="1">
      <c r="B10" s="236">
        <f>FORMAT_FLK!$B$9</f>
        <v>57.734999999999999</v>
      </c>
      <c r="C10" s="237">
        <f>FORMAT_FLK!$C$9</f>
        <v>13500</v>
      </c>
      <c r="D10" s="237">
        <f>FORMAT_FLK!$D$9</f>
        <v>1620</v>
      </c>
      <c r="E10" s="122">
        <f>FORMAT_FLK!$E$9</f>
        <v>0.40200000000000002</v>
      </c>
      <c r="F10" s="274">
        <f>FORMAT_FLK!F9</f>
        <v>0</v>
      </c>
      <c r="G10" s="300">
        <f>FORMAT_FLK!I9</f>
        <v>0</v>
      </c>
      <c r="H10" s="200">
        <v>0</v>
      </c>
      <c r="I10" s="199">
        <f t="shared" si="0"/>
        <v>0</v>
      </c>
      <c r="J10" s="199">
        <v>0.25</v>
      </c>
      <c r="K10" s="199">
        <f t="shared" si="1"/>
        <v>3.248148148148148E-3</v>
      </c>
      <c r="L10" s="199">
        <v>2.5000000000000001E-2</v>
      </c>
      <c r="M10" s="199">
        <f t="shared" si="2"/>
        <v>0.25126788586365811</v>
      </c>
      <c r="N10" s="222">
        <f t="shared" si="3"/>
        <v>0.25126788586365811</v>
      </c>
      <c r="O10" s="199">
        <f>100*0.001/2/1</f>
        <v>0.05</v>
      </c>
      <c r="P10" s="272">
        <f t="shared" si="4"/>
        <v>0.3881360814906486</v>
      </c>
      <c r="Q10" s="343">
        <v>2.7</v>
      </c>
      <c r="R10" s="200">
        <v>0</v>
      </c>
      <c r="S10" s="199">
        <f t="shared" si="5"/>
        <v>0</v>
      </c>
      <c r="T10" s="199">
        <v>0.25</v>
      </c>
      <c r="U10" s="222">
        <f t="shared" si="6"/>
        <v>3.248148148148148E-3</v>
      </c>
      <c r="V10" s="199">
        <v>2.5000000000000001E-2</v>
      </c>
      <c r="W10" s="199">
        <f t="shared" si="7"/>
        <v>0.25126788586365811</v>
      </c>
      <c r="X10" s="222">
        <f t="shared" si="8"/>
        <v>0.25126788586365811</v>
      </c>
      <c r="Y10" s="199">
        <f>100*0.001/2/1</f>
        <v>0.05</v>
      </c>
      <c r="Z10" s="272">
        <f t="shared" si="9"/>
        <v>0.3881360814906486</v>
      </c>
      <c r="AA10" s="343">
        <v>2.7</v>
      </c>
      <c r="AB10" s="274">
        <f t="shared" si="10"/>
        <v>2.7000000000000003E-2</v>
      </c>
      <c r="AC10" s="541">
        <f t="shared" si="11"/>
        <v>2.7</v>
      </c>
      <c r="AD10" s="538">
        <v>0.04</v>
      </c>
      <c r="AE10" s="458">
        <v>0.05</v>
      </c>
      <c r="AF10" s="319" t="b">
        <f t="shared" si="12"/>
        <v>0</v>
      </c>
      <c r="AG10" s="528" t="b">
        <f t="shared" si="13"/>
        <v>0</v>
      </c>
      <c r="AH10" s="463" t="b">
        <f t="shared" si="14"/>
        <v>0</v>
      </c>
      <c r="AI10" s="322" t="b">
        <f t="shared" si="15"/>
        <v>0</v>
      </c>
    </row>
    <row r="11" spans="1:35" ht="12.9" customHeight="1" thickBot="1">
      <c r="B11" s="238">
        <f>FORMAT_FLK!$B$10</f>
        <v>57.734999999999999</v>
      </c>
      <c r="C11" s="239">
        <f>FORMAT_FLK!$C$10</f>
        <v>33333</v>
      </c>
      <c r="D11" s="239">
        <f>FORMAT_FLK!$D$10</f>
        <v>4000</v>
      </c>
      <c r="E11" s="123">
        <f>FORMAT_FLK!$E$10</f>
        <v>2.4</v>
      </c>
      <c r="F11" s="328">
        <f>FORMAT_FLK!F10</f>
        <v>0</v>
      </c>
      <c r="G11" s="329">
        <f>FORMAT_FLK!I10</f>
        <v>0</v>
      </c>
      <c r="H11" s="201">
        <v>0</v>
      </c>
      <c r="I11" s="211">
        <f t="shared" si="0"/>
        <v>0</v>
      </c>
      <c r="J11" s="211">
        <v>0.25</v>
      </c>
      <c r="K11" s="211">
        <f t="shared" si="1"/>
        <v>3.1600006000060007E-3</v>
      </c>
      <c r="L11" s="211">
        <v>2.5000000000000001E-2</v>
      </c>
      <c r="M11" s="211">
        <f t="shared" si="2"/>
        <v>0.25126676183648333</v>
      </c>
      <c r="N11" s="309">
        <f t="shared" si="3"/>
        <v>0.25126676183648333</v>
      </c>
      <c r="O11" s="211">
        <f>100*0.0001/2/1</f>
        <v>5.0000000000000001E-3</v>
      </c>
      <c r="P11" s="310">
        <f t="shared" si="4"/>
        <v>0.38385973967346643</v>
      </c>
      <c r="Q11" s="325">
        <v>0.5</v>
      </c>
      <c r="R11" s="201">
        <v>0</v>
      </c>
      <c r="S11" s="211">
        <f t="shared" si="5"/>
        <v>0</v>
      </c>
      <c r="T11" s="211">
        <v>0.25</v>
      </c>
      <c r="U11" s="211">
        <f t="shared" si="6"/>
        <v>3.1600006000060007E-3</v>
      </c>
      <c r="V11" s="211">
        <v>2.5000000000000001E-2</v>
      </c>
      <c r="W11" s="211">
        <f t="shared" si="7"/>
        <v>0.25126676183648333</v>
      </c>
      <c r="X11" s="309">
        <f t="shared" si="8"/>
        <v>0.25126676183648333</v>
      </c>
      <c r="Y11" s="211">
        <f>100*0.0001/2/1</f>
        <v>5.0000000000000001E-3</v>
      </c>
      <c r="Z11" s="310">
        <f t="shared" si="9"/>
        <v>0.38385973967346643</v>
      </c>
      <c r="AA11" s="325">
        <v>0.5</v>
      </c>
      <c r="AB11" s="328">
        <f t="shared" si="10"/>
        <v>5.0000000000000001E-3</v>
      </c>
      <c r="AC11" s="542">
        <f t="shared" si="11"/>
        <v>0.5</v>
      </c>
      <c r="AD11" s="556">
        <v>0.04</v>
      </c>
      <c r="AE11" s="462">
        <v>0.05</v>
      </c>
      <c r="AF11" s="320" t="b">
        <f t="shared" si="12"/>
        <v>0</v>
      </c>
      <c r="AG11" s="529" t="b">
        <f t="shared" si="13"/>
        <v>0</v>
      </c>
      <c r="AH11" s="464" t="b">
        <f t="shared" si="14"/>
        <v>0</v>
      </c>
      <c r="AI11" s="323" t="b">
        <f t="shared" si="15"/>
        <v>0</v>
      </c>
    </row>
    <row r="12" spans="1:35" ht="12" thickBot="1"/>
    <row r="13" spans="1:35" s="77" customFormat="1" ht="16.5" customHeight="1" thickBot="1">
      <c r="B13" s="616" t="s">
        <v>55</v>
      </c>
      <c r="C13" s="617"/>
      <c r="D13" s="617"/>
      <c r="E13" s="617"/>
      <c r="F13" s="617"/>
      <c r="G13" s="618"/>
      <c r="H13" s="619" t="s">
        <v>56</v>
      </c>
      <c r="I13" s="620"/>
      <c r="J13" s="620"/>
      <c r="K13" s="620"/>
      <c r="L13" s="620"/>
      <c r="M13" s="620"/>
      <c r="N13" s="620"/>
      <c r="O13" s="620"/>
      <c r="P13" s="620"/>
      <c r="Q13" s="620"/>
      <c r="R13" s="620"/>
      <c r="S13" s="620"/>
      <c r="T13" s="620"/>
      <c r="U13" s="620"/>
      <c r="V13" s="620"/>
      <c r="W13" s="620"/>
      <c r="X13" s="620"/>
      <c r="Y13" s="620"/>
      <c r="Z13" s="620"/>
      <c r="AA13" s="621"/>
    </row>
    <row r="14" spans="1:35" ht="15.75" customHeight="1" thickBot="1">
      <c r="B14" s="624" t="s">
        <v>46</v>
      </c>
      <c r="C14" s="633"/>
      <c r="D14" s="633"/>
      <c r="E14" s="634"/>
      <c r="F14" s="624" t="s">
        <v>175</v>
      </c>
      <c r="G14" s="634"/>
      <c r="H14" s="626" t="s">
        <v>47</v>
      </c>
      <c r="I14" s="627"/>
      <c r="J14" s="627"/>
      <c r="K14" s="627"/>
      <c r="L14" s="627"/>
      <c r="M14" s="627"/>
      <c r="N14" s="627"/>
      <c r="O14" s="627"/>
      <c r="P14" s="627"/>
      <c r="Q14" s="628"/>
      <c r="R14" s="626" t="s">
        <v>48</v>
      </c>
      <c r="S14" s="627"/>
      <c r="T14" s="627"/>
      <c r="U14" s="627"/>
      <c r="V14" s="627"/>
      <c r="W14" s="627"/>
      <c r="X14" s="627"/>
      <c r="Y14" s="627"/>
      <c r="Z14" s="627"/>
      <c r="AA14" s="628"/>
      <c r="AD14" s="610" t="s">
        <v>112</v>
      </c>
      <c r="AE14" s="611"/>
      <c r="AF14" s="612" t="s">
        <v>107</v>
      </c>
      <c r="AG14" s="613"/>
      <c r="AH14" s="614" t="s">
        <v>108</v>
      </c>
      <c r="AI14" s="615"/>
    </row>
    <row r="15" spans="1:35" ht="13.8" thickBot="1">
      <c r="B15" s="45" t="s">
        <v>14</v>
      </c>
      <c r="C15" s="46" t="s">
        <v>12</v>
      </c>
      <c r="D15" s="46" t="s">
        <v>173</v>
      </c>
      <c r="E15" s="285" t="s">
        <v>178</v>
      </c>
      <c r="F15" s="224" t="s">
        <v>176</v>
      </c>
      <c r="G15" s="520" t="s">
        <v>177</v>
      </c>
      <c r="H15" s="311" t="s">
        <v>49</v>
      </c>
      <c r="I15" s="306" t="s">
        <v>50</v>
      </c>
      <c r="J15" s="306" t="s">
        <v>103</v>
      </c>
      <c r="K15" s="306" t="s">
        <v>101</v>
      </c>
      <c r="L15" s="306" t="s">
        <v>102</v>
      </c>
      <c r="M15" s="306" t="s">
        <v>51</v>
      </c>
      <c r="N15" s="306" t="s">
        <v>52</v>
      </c>
      <c r="O15" s="330" t="s">
        <v>53</v>
      </c>
      <c r="P15" s="307" t="s">
        <v>54</v>
      </c>
      <c r="Q15" s="308" t="s">
        <v>54</v>
      </c>
      <c r="R15" s="311" t="s">
        <v>49</v>
      </c>
      <c r="S15" s="306" t="s">
        <v>50</v>
      </c>
      <c r="T15" s="306" t="s">
        <v>103</v>
      </c>
      <c r="U15" s="306" t="s">
        <v>101</v>
      </c>
      <c r="V15" s="306" t="s">
        <v>102</v>
      </c>
      <c r="W15" s="306" t="s">
        <v>51</v>
      </c>
      <c r="X15" s="306" t="s">
        <v>52</v>
      </c>
      <c r="Y15" s="330" t="s">
        <v>53</v>
      </c>
      <c r="Z15" s="307" t="s">
        <v>54</v>
      </c>
      <c r="AA15" s="308" t="s">
        <v>54</v>
      </c>
      <c r="AB15" s="264" t="s">
        <v>90</v>
      </c>
      <c r="AC15" s="540" t="s">
        <v>54</v>
      </c>
      <c r="AD15" s="314" t="s">
        <v>104</v>
      </c>
      <c r="AE15" s="315" t="s">
        <v>105</v>
      </c>
      <c r="AF15" s="318" t="s">
        <v>47</v>
      </c>
      <c r="AG15" s="455" t="s">
        <v>48</v>
      </c>
      <c r="AH15" s="314" t="s">
        <v>47</v>
      </c>
      <c r="AI15" s="315" t="s">
        <v>48</v>
      </c>
    </row>
    <row r="16" spans="1:35" ht="12.9" customHeight="1">
      <c r="B16" s="234">
        <f>FORMAT_FLK!$B$4</f>
        <v>57.734999999999999</v>
      </c>
      <c r="C16" s="235">
        <f>FORMAT_FLK!$C$4</f>
        <v>8.3330000000000002</v>
      </c>
      <c r="D16" s="235">
        <f>FORMAT_FLK!$D$4</f>
        <v>1</v>
      </c>
      <c r="E16" s="121">
        <f>FORMAT_FLK!$E$4</f>
        <v>2.7240000000000002</v>
      </c>
      <c r="F16" s="326">
        <f>FORMAT_FLK!G4</f>
        <v>0</v>
      </c>
      <c r="G16" s="327">
        <f>FORMAT_FLK!J4</f>
        <v>0</v>
      </c>
      <c r="H16" s="221">
        <v>0</v>
      </c>
      <c r="I16" s="222">
        <f>H16/10^0.5</f>
        <v>0</v>
      </c>
      <c r="J16" s="222">
        <v>0.25</v>
      </c>
      <c r="K16" s="222">
        <f>100*((10+31*C16*0.001)*0.000001+0.00001)/(C16*0.001)</f>
        <v>0.24310960038401536</v>
      </c>
      <c r="L16" s="222">
        <v>2.5000000000000001E-2</v>
      </c>
      <c r="M16" s="222">
        <f>(J16^2+K16^2+L16^2)^0.5</f>
        <v>0.3496101797700914</v>
      </c>
      <c r="N16" s="222">
        <f>M16</f>
        <v>0.3496101797700914</v>
      </c>
      <c r="O16" s="222">
        <f>100*0.0001/2/1</f>
        <v>5.0000000000000001E-3</v>
      </c>
      <c r="P16" s="272">
        <f>2*(I16^2+M16^2/4+N16^2/3+O16^2/3)^0.5</f>
        <v>0.5340695786730818</v>
      </c>
      <c r="Q16" s="272">
        <v>0.6</v>
      </c>
      <c r="R16" s="221">
        <v>0</v>
      </c>
      <c r="S16" s="222">
        <f>R16/10^0.5</f>
        <v>0</v>
      </c>
      <c r="T16" s="222">
        <v>0.25</v>
      </c>
      <c r="U16" s="222">
        <f>100*((10+31*C16*0.001)*0.000001+0.00001)/(C16*0.001)</f>
        <v>0.24310960038401536</v>
      </c>
      <c r="V16" s="222">
        <v>2.5000000000000001E-2</v>
      </c>
      <c r="W16" s="222">
        <f>(T16^2+U16^2+V16^2)^0.5</f>
        <v>0.3496101797700914</v>
      </c>
      <c r="X16" s="222">
        <f>W16</f>
        <v>0.3496101797700914</v>
      </c>
      <c r="Y16" s="222">
        <f>100*0.0001/2/1</f>
        <v>5.0000000000000001E-3</v>
      </c>
      <c r="Z16" s="272">
        <f>2*(S16^2+W16^2/4+X16^2/3+Y16^2/3)^0.5</f>
        <v>0.5340695786730818</v>
      </c>
      <c r="AA16" s="272">
        <v>0.6</v>
      </c>
      <c r="AB16" s="155">
        <f>AA16*0.01*1</f>
        <v>6.0000000000000001E-3</v>
      </c>
      <c r="AC16" s="535">
        <f>IF(AA16&gt;Q16,AA16,Q16)</f>
        <v>0.6</v>
      </c>
      <c r="AD16" s="312">
        <v>0.04</v>
      </c>
      <c r="AE16" s="458">
        <v>0.05</v>
      </c>
      <c r="AF16" s="319" t="b">
        <f>IF(ABS(1-F16)&lt;AD16,TRUE,FALSE)</f>
        <v>0</v>
      </c>
      <c r="AG16" s="528" t="b">
        <f>IF(ABS(1-G16)&lt;AD16,TRUE,FALSE)</f>
        <v>0</v>
      </c>
      <c r="AH16" s="463" t="b">
        <f>IF(ABS(1-F16)&lt;AE16,TRUE,FALSE)</f>
        <v>0</v>
      </c>
      <c r="AI16" s="322" t="b">
        <f>IF(ABS(1-G16)&lt;AE16,TRUE,FALSE)</f>
        <v>0</v>
      </c>
    </row>
    <row r="17" spans="2:35" ht="12.9" customHeight="1">
      <c r="B17" s="236">
        <f>FORMAT_FLK!$B$5</f>
        <v>57.734999999999999</v>
      </c>
      <c r="C17" s="237">
        <f>FORMAT_FLK!$C$5</f>
        <v>16.666</v>
      </c>
      <c r="D17" s="237">
        <f>FORMAT_FLK!$D$5</f>
        <v>2</v>
      </c>
      <c r="E17" s="122">
        <f>FORMAT_FLK!$E$5</f>
        <v>2.2109999999999999</v>
      </c>
      <c r="F17" s="273">
        <f>FORMAT_FLK!G5</f>
        <v>0</v>
      </c>
      <c r="G17" s="298">
        <f>FORMAT_FLK!J5</f>
        <v>0</v>
      </c>
      <c r="H17" s="200">
        <v>0</v>
      </c>
      <c r="I17" s="199">
        <f t="shared" ref="I17:I22" si="16">H17/10^0.5</f>
        <v>0</v>
      </c>
      <c r="J17" s="199">
        <v>0.25</v>
      </c>
      <c r="K17" s="199">
        <f t="shared" ref="K17:K22" si="17">100*((10+31*C17*0.001)*0.000001+0.00001)/(C17*0.001)</f>
        <v>0.12310480019200766</v>
      </c>
      <c r="L17" s="199">
        <v>2.5000000000000001E-2</v>
      </c>
      <c r="M17" s="199">
        <f t="shared" ref="M17:M22" si="18">(J17^2+K17^2+L17^2)^0.5</f>
        <v>0.27978526020917205</v>
      </c>
      <c r="N17" s="222">
        <f t="shared" ref="N17:N22" si="19">M17</f>
        <v>0.27978526020917205</v>
      </c>
      <c r="O17" s="199">
        <f>100*0.0001/2/1</f>
        <v>5.0000000000000001E-3</v>
      </c>
      <c r="P17" s="272">
        <f t="shared" ref="P17:P22" si="20">2*(I17^2+M17^2/4+N17^2/3+O17^2/3)^0.5</f>
        <v>0.42741804002334716</v>
      </c>
      <c r="Q17" s="324">
        <v>0.7</v>
      </c>
      <c r="R17" s="200">
        <v>0</v>
      </c>
      <c r="S17" s="199">
        <f t="shared" ref="S17:S22" si="21">R17/10^0.5</f>
        <v>0</v>
      </c>
      <c r="T17" s="199">
        <v>0.25</v>
      </c>
      <c r="U17" s="222">
        <f t="shared" ref="U17:U22" si="22">100*((10+31*C17*0.001)*0.000001+0.00001)/(C17*0.001)</f>
        <v>0.12310480019200766</v>
      </c>
      <c r="V17" s="199">
        <v>2.5000000000000001E-2</v>
      </c>
      <c r="W17" s="199">
        <f t="shared" ref="W17:W22" si="23">(T17^2+U17^2+V17^2)^0.5</f>
        <v>0.27978526020917205</v>
      </c>
      <c r="X17" s="222">
        <f t="shared" ref="X17:X22" si="24">W17</f>
        <v>0.27978526020917205</v>
      </c>
      <c r="Y17" s="199">
        <f>100*0.0001/2/1</f>
        <v>5.0000000000000001E-3</v>
      </c>
      <c r="Z17" s="272">
        <f t="shared" ref="Z17:Z22" si="25">2*(S17^2+W17^2/4+X17^2/3+Y17^2/3)^0.5</f>
        <v>0.42741804002334716</v>
      </c>
      <c r="AA17" s="324">
        <v>0.7</v>
      </c>
      <c r="AB17" s="156">
        <f t="shared" ref="AB17:AB22" si="26">AA17*0.01*1</f>
        <v>6.9999999999999993E-3</v>
      </c>
      <c r="AC17" s="541">
        <f t="shared" ref="AC17:AC22" si="27">IF(AA17&gt;Q17,AA17,Q17)</f>
        <v>0.7</v>
      </c>
      <c r="AD17" s="312">
        <v>0.04</v>
      </c>
      <c r="AE17" s="458">
        <v>0.05</v>
      </c>
      <c r="AF17" s="319" t="b">
        <f t="shared" ref="AF17:AF22" si="28">IF(ABS(1-F17)&lt;AD17,TRUE,FALSE)</f>
        <v>0</v>
      </c>
      <c r="AG17" s="528" t="b">
        <f t="shared" ref="AG17:AG22" si="29">IF(ABS(1-G17)&lt;AD17,TRUE,FALSE)</f>
        <v>0</v>
      </c>
      <c r="AH17" s="463" t="b">
        <f t="shared" ref="AH17:AH22" si="30">IF(ABS(1-F17)&lt;AE17,TRUE,FALSE)</f>
        <v>0</v>
      </c>
      <c r="AI17" s="322" t="b">
        <f t="shared" ref="AI17:AI22" si="31">IF(ABS(1-G17)&lt;AE17,TRUE,FALSE)</f>
        <v>0</v>
      </c>
    </row>
    <row r="18" spans="2:35" ht="12.9" customHeight="1">
      <c r="B18" s="236">
        <f>FORMAT_FLK!$B$6</f>
        <v>57.734999999999999</v>
      </c>
      <c r="C18" s="237">
        <f>FORMAT_FLK!$C$6</f>
        <v>58.332999999999998</v>
      </c>
      <c r="D18" s="237">
        <f>FORMAT_FLK!$D$6</f>
        <v>7</v>
      </c>
      <c r="E18" s="122">
        <f>FORMAT_FLK!$E$6</f>
        <v>1.4590000000000001</v>
      </c>
      <c r="F18" s="273">
        <f>FORMAT_FLK!G6</f>
        <v>0</v>
      </c>
      <c r="G18" s="298">
        <f>FORMAT_FLK!J6</f>
        <v>0</v>
      </c>
      <c r="H18" s="200">
        <v>0</v>
      </c>
      <c r="I18" s="199">
        <f t="shared" si="16"/>
        <v>0</v>
      </c>
      <c r="J18" s="199">
        <v>0.25</v>
      </c>
      <c r="K18" s="199">
        <f t="shared" si="17"/>
        <v>3.7385910205201177E-2</v>
      </c>
      <c r="L18" s="199">
        <v>2.5000000000000001E-2</v>
      </c>
      <c r="M18" s="199">
        <f t="shared" si="18"/>
        <v>0.25401320099922242</v>
      </c>
      <c r="N18" s="222">
        <f t="shared" si="19"/>
        <v>0.25401320099922242</v>
      </c>
      <c r="O18" s="199">
        <f>100*0.0001/2/1</f>
        <v>5.0000000000000001E-3</v>
      </c>
      <c r="P18" s="272">
        <f t="shared" si="20"/>
        <v>0.38805452536686114</v>
      </c>
      <c r="Q18" s="324">
        <v>0.98</v>
      </c>
      <c r="R18" s="200">
        <v>0</v>
      </c>
      <c r="S18" s="199">
        <f t="shared" si="21"/>
        <v>0</v>
      </c>
      <c r="T18" s="199">
        <v>0.25</v>
      </c>
      <c r="U18" s="222">
        <f t="shared" si="22"/>
        <v>3.7385910205201177E-2</v>
      </c>
      <c r="V18" s="199">
        <v>2.5000000000000001E-2</v>
      </c>
      <c r="W18" s="199">
        <f t="shared" si="23"/>
        <v>0.25401320099922242</v>
      </c>
      <c r="X18" s="222">
        <f t="shared" si="24"/>
        <v>0.25401320099922242</v>
      </c>
      <c r="Y18" s="199">
        <f>100*0.0001/2/1</f>
        <v>5.0000000000000001E-3</v>
      </c>
      <c r="Z18" s="272">
        <f t="shared" si="25"/>
        <v>0.38805452536686114</v>
      </c>
      <c r="AA18" s="324">
        <v>0.98</v>
      </c>
      <c r="AB18" s="156">
        <f t="shared" si="26"/>
        <v>9.7999999999999997E-3</v>
      </c>
      <c r="AC18" s="541">
        <f t="shared" si="27"/>
        <v>0.98</v>
      </c>
      <c r="AD18" s="312">
        <v>0.04</v>
      </c>
      <c r="AE18" s="458">
        <v>0.05</v>
      </c>
      <c r="AF18" s="319" t="b">
        <f t="shared" si="28"/>
        <v>0</v>
      </c>
      <c r="AG18" s="528" t="b">
        <f t="shared" si="29"/>
        <v>0</v>
      </c>
      <c r="AH18" s="463" t="b">
        <f t="shared" si="30"/>
        <v>0</v>
      </c>
      <c r="AI18" s="322" t="b">
        <f t="shared" si="31"/>
        <v>0</v>
      </c>
    </row>
    <row r="19" spans="2:35" ht="12.9" customHeight="1">
      <c r="B19" s="236">
        <f>FORMAT_FLK!$B$7</f>
        <v>57.734999999999999</v>
      </c>
      <c r="C19" s="237">
        <f>FORMAT_FLK!$C$7</f>
        <v>325</v>
      </c>
      <c r="D19" s="237">
        <f>FORMAT_FLK!$D$7</f>
        <v>39</v>
      </c>
      <c r="E19" s="122">
        <f>FORMAT_FLK!$E$7</f>
        <v>0.90600000000000003</v>
      </c>
      <c r="F19" s="274">
        <f>FORMAT_FLK!G7</f>
        <v>0</v>
      </c>
      <c r="G19" s="300">
        <f>FORMAT_FLK!J7</f>
        <v>0</v>
      </c>
      <c r="H19" s="200">
        <v>0</v>
      </c>
      <c r="I19" s="199">
        <f t="shared" si="16"/>
        <v>0</v>
      </c>
      <c r="J19" s="199">
        <v>0.25</v>
      </c>
      <c r="K19" s="199">
        <f t="shared" si="17"/>
        <v>9.2538461538461559E-3</v>
      </c>
      <c r="L19" s="199">
        <v>2.5000000000000001E-2</v>
      </c>
      <c r="M19" s="199">
        <f t="shared" si="18"/>
        <v>0.2514172501413518</v>
      </c>
      <c r="N19" s="222">
        <f t="shared" si="19"/>
        <v>0.2514172501413518</v>
      </c>
      <c r="O19" s="199">
        <f>100*0.001/2/1</f>
        <v>0.05</v>
      </c>
      <c r="P19" s="272">
        <f t="shared" si="20"/>
        <v>0.38836170240317358</v>
      </c>
      <c r="Q19" s="343">
        <v>1.2</v>
      </c>
      <c r="R19" s="200">
        <v>0</v>
      </c>
      <c r="S19" s="199">
        <f t="shared" si="21"/>
        <v>0</v>
      </c>
      <c r="T19" s="199">
        <v>0.25</v>
      </c>
      <c r="U19" s="222">
        <f t="shared" si="22"/>
        <v>9.2538461538461559E-3</v>
      </c>
      <c r="V19" s="199">
        <v>2.5000000000000001E-2</v>
      </c>
      <c r="W19" s="199">
        <f t="shared" si="23"/>
        <v>0.2514172501413518</v>
      </c>
      <c r="X19" s="222">
        <f t="shared" si="24"/>
        <v>0.2514172501413518</v>
      </c>
      <c r="Y19" s="199">
        <f>100*0.001/2/1</f>
        <v>0.05</v>
      </c>
      <c r="Z19" s="272">
        <f t="shared" si="25"/>
        <v>0.38836170240317358</v>
      </c>
      <c r="AA19" s="343">
        <v>1.2</v>
      </c>
      <c r="AB19" s="266">
        <f t="shared" si="26"/>
        <v>1.2E-2</v>
      </c>
      <c r="AC19" s="541">
        <f t="shared" si="27"/>
        <v>1.2</v>
      </c>
      <c r="AD19" s="312">
        <v>0.04</v>
      </c>
      <c r="AE19" s="458">
        <v>0.05</v>
      </c>
      <c r="AF19" s="319" t="b">
        <f t="shared" si="28"/>
        <v>0</v>
      </c>
      <c r="AG19" s="528" t="b">
        <f t="shared" si="29"/>
        <v>0</v>
      </c>
      <c r="AH19" s="463" t="b">
        <f t="shared" si="30"/>
        <v>0</v>
      </c>
      <c r="AI19" s="322" t="b">
        <f t="shared" si="31"/>
        <v>0</v>
      </c>
    </row>
    <row r="20" spans="2:35" ht="12.9" customHeight="1">
      <c r="B20" s="236">
        <f>FORMAT_FLK!$B$8</f>
        <v>57.734999999999999</v>
      </c>
      <c r="C20" s="237">
        <f>FORMAT_FLK!$C$8</f>
        <v>916.66700000000003</v>
      </c>
      <c r="D20" s="237">
        <f>FORMAT_FLK!$D$8</f>
        <v>110</v>
      </c>
      <c r="E20" s="122">
        <f>FORMAT_FLK!$E$8</f>
        <v>0.72499999999999998</v>
      </c>
      <c r="F20" s="274">
        <f>FORMAT_FLK!G8</f>
        <v>0</v>
      </c>
      <c r="G20" s="300">
        <f>FORMAT_FLK!J8</f>
        <v>0</v>
      </c>
      <c r="H20" s="200">
        <v>0</v>
      </c>
      <c r="I20" s="199">
        <f t="shared" si="16"/>
        <v>0</v>
      </c>
      <c r="J20" s="199">
        <v>0.25</v>
      </c>
      <c r="K20" s="199">
        <f t="shared" si="17"/>
        <v>5.2818173884300402E-3</v>
      </c>
      <c r="L20" s="199">
        <v>2.5000000000000001E-2</v>
      </c>
      <c r="M20" s="199">
        <f t="shared" si="18"/>
        <v>0.25130240268434506</v>
      </c>
      <c r="N20" s="222">
        <f t="shared" si="19"/>
        <v>0.25130240268434506</v>
      </c>
      <c r="O20" s="199">
        <f>100*0.001/2/1</f>
        <v>0.05</v>
      </c>
      <c r="P20" s="272">
        <f t="shared" si="20"/>
        <v>0.38818822031091782</v>
      </c>
      <c r="Q20" s="343">
        <v>1.5</v>
      </c>
      <c r="R20" s="200">
        <v>0</v>
      </c>
      <c r="S20" s="199">
        <f t="shared" si="21"/>
        <v>0</v>
      </c>
      <c r="T20" s="199">
        <v>0.25</v>
      </c>
      <c r="U20" s="222">
        <f t="shared" si="22"/>
        <v>5.2818173884300402E-3</v>
      </c>
      <c r="V20" s="199">
        <v>2.5000000000000001E-2</v>
      </c>
      <c r="W20" s="199">
        <f t="shared" si="23"/>
        <v>0.25130240268434506</v>
      </c>
      <c r="X20" s="222">
        <f t="shared" si="24"/>
        <v>0.25130240268434506</v>
      </c>
      <c r="Y20" s="199">
        <f>100*0.001/2/1</f>
        <v>0.05</v>
      </c>
      <c r="Z20" s="272">
        <f t="shared" si="25"/>
        <v>0.38818822031091782</v>
      </c>
      <c r="AA20" s="343">
        <v>1.5</v>
      </c>
      <c r="AB20" s="266">
        <f t="shared" si="26"/>
        <v>1.4999999999999999E-2</v>
      </c>
      <c r="AC20" s="541">
        <f t="shared" si="27"/>
        <v>1.5</v>
      </c>
      <c r="AD20" s="312">
        <v>0.04</v>
      </c>
      <c r="AE20" s="458">
        <v>0.05</v>
      </c>
      <c r="AF20" s="319" t="b">
        <f t="shared" si="28"/>
        <v>0</v>
      </c>
      <c r="AG20" s="528" t="b">
        <f t="shared" si="29"/>
        <v>0</v>
      </c>
      <c r="AH20" s="463" t="b">
        <f t="shared" si="30"/>
        <v>0</v>
      </c>
      <c r="AI20" s="322" t="b">
        <f t="shared" si="31"/>
        <v>0</v>
      </c>
    </row>
    <row r="21" spans="2:35" ht="12.9" customHeight="1">
      <c r="B21" s="236">
        <f>FORMAT_FLK!$B$9</f>
        <v>57.734999999999999</v>
      </c>
      <c r="C21" s="237">
        <f>FORMAT_FLK!$C$9</f>
        <v>13500</v>
      </c>
      <c r="D21" s="237">
        <f>FORMAT_FLK!$D$9</f>
        <v>1620</v>
      </c>
      <c r="E21" s="122">
        <f>FORMAT_FLK!$E$9</f>
        <v>0.40200000000000002</v>
      </c>
      <c r="F21" s="274">
        <f>FORMAT_FLK!G9</f>
        <v>0</v>
      </c>
      <c r="G21" s="300">
        <f>FORMAT_FLK!J9</f>
        <v>0</v>
      </c>
      <c r="H21" s="200">
        <v>0</v>
      </c>
      <c r="I21" s="199">
        <f t="shared" si="16"/>
        <v>0</v>
      </c>
      <c r="J21" s="199">
        <v>0.25</v>
      </c>
      <c r="K21" s="199">
        <f t="shared" si="17"/>
        <v>3.248148148148148E-3</v>
      </c>
      <c r="L21" s="199">
        <v>2.5000000000000001E-2</v>
      </c>
      <c r="M21" s="199">
        <f t="shared" si="18"/>
        <v>0.25126788586365811</v>
      </c>
      <c r="N21" s="222">
        <f t="shared" si="19"/>
        <v>0.25126788586365811</v>
      </c>
      <c r="O21" s="199">
        <f>100*0.001/2/1</f>
        <v>0.05</v>
      </c>
      <c r="P21" s="272">
        <f t="shared" si="20"/>
        <v>0.3881360814906486</v>
      </c>
      <c r="Q21" s="343">
        <v>2.7</v>
      </c>
      <c r="R21" s="200">
        <v>0</v>
      </c>
      <c r="S21" s="199">
        <f t="shared" si="21"/>
        <v>0</v>
      </c>
      <c r="T21" s="199">
        <v>0.25</v>
      </c>
      <c r="U21" s="222">
        <f t="shared" si="22"/>
        <v>3.248148148148148E-3</v>
      </c>
      <c r="V21" s="199">
        <v>2.5000000000000001E-2</v>
      </c>
      <c r="W21" s="199">
        <f t="shared" si="23"/>
        <v>0.25126788586365811</v>
      </c>
      <c r="X21" s="222">
        <f t="shared" si="24"/>
        <v>0.25126788586365811</v>
      </c>
      <c r="Y21" s="199">
        <f>100*0.001/2/1</f>
        <v>0.05</v>
      </c>
      <c r="Z21" s="272">
        <f t="shared" si="25"/>
        <v>0.3881360814906486</v>
      </c>
      <c r="AA21" s="343">
        <v>2.7</v>
      </c>
      <c r="AB21" s="266">
        <f t="shared" si="26"/>
        <v>2.7000000000000003E-2</v>
      </c>
      <c r="AC21" s="541">
        <f t="shared" si="27"/>
        <v>2.7</v>
      </c>
      <c r="AD21" s="312">
        <v>0.04</v>
      </c>
      <c r="AE21" s="458">
        <v>0.05</v>
      </c>
      <c r="AF21" s="319" t="b">
        <f t="shared" si="28"/>
        <v>0</v>
      </c>
      <c r="AG21" s="528" t="b">
        <f t="shared" si="29"/>
        <v>0</v>
      </c>
      <c r="AH21" s="463" t="b">
        <f t="shared" si="30"/>
        <v>0</v>
      </c>
      <c r="AI21" s="322" t="b">
        <f t="shared" si="31"/>
        <v>0</v>
      </c>
    </row>
    <row r="22" spans="2:35" ht="12.9" customHeight="1" thickBot="1">
      <c r="B22" s="238">
        <f>FORMAT_FLK!$B$10</f>
        <v>57.734999999999999</v>
      </c>
      <c r="C22" s="239">
        <f>FORMAT_FLK!$C$10</f>
        <v>33333</v>
      </c>
      <c r="D22" s="239">
        <f>FORMAT_FLK!$D$10</f>
        <v>4000</v>
      </c>
      <c r="E22" s="123">
        <f>FORMAT_FLK!$E$10</f>
        <v>2.4</v>
      </c>
      <c r="F22" s="328">
        <f>FORMAT_FLK!G10</f>
        <v>0</v>
      </c>
      <c r="G22" s="329">
        <f>FORMAT_FLK!J10</f>
        <v>0</v>
      </c>
      <c r="H22" s="201">
        <v>0</v>
      </c>
      <c r="I22" s="211">
        <f t="shared" si="16"/>
        <v>0</v>
      </c>
      <c r="J22" s="211">
        <v>0.25</v>
      </c>
      <c r="K22" s="211">
        <f t="shared" si="17"/>
        <v>3.1600006000060007E-3</v>
      </c>
      <c r="L22" s="211">
        <v>2.5000000000000001E-2</v>
      </c>
      <c r="M22" s="211">
        <f t="shared" si="18"/>
        <v>0.25126676183648333</v>
      </c>
      <c r="N22" s="309">
        <f t="shared" si="19"/>
        <v>0.25126676183648333</v>
      </c>
      <c r="O22" s="211">
        <f>100*0.0001/2/1</f>
        <v>5.0000000000000001E-3</v>
      </c>
      <c r="P22" s="310">
        <f t="shared" si="20"/>
        <v>0.38385973967346643</v>
      </c>
      <c r="Q22" s="325">
        <v>0.5</v>
      </c>
      <c r="R22" s="201">
        <v>0</v>
      </c>
      <c r="S22" s="211">
        <f t="shared" si="21"/>
        <v>0</v>
      </c>
      <c r="T22" s="211">
        <v>0.25</v>
      </c>
      <c r="U22" s="211">
        <f t="shared" si="22"/>
        <v>3.1600006000060007E-3</v>
      </c>
      <c r="V22" s="211">
        <v>2.5000000000000001E-2</v>
      </c>
      <c r="W22" s="211">
        <f t="shared" si="23"/>
        <v>0.25126676183648333</v>
      </c>
      <c r="X22" s="309">
        <f t="shared" si="24"/>
        <v>0.25126676183648333</v>
      </c>
      <c r="Y22" s="211">
        <f>100*0.0001/2/1</f>
        <v>5.0000000000000001E-3</v>
      </c>
      <c r="Z22" s="310">
        <f t="shared" si="25"/>
        <v>0.38385973967346643</v>
      </c>
      <c r="AA22" s="325">
        <v>0.5</v>
      </c>
      <c r="AB22" s="158">
        <f t="shared" si="26"/>
        <v>5.0000000000000001E-3</v>
      </c>
      <c r="AC22" s="542">
        <f t="shared" si="27"/>
        <v>0.5</v>
      </c>
      <c r="AD22" s="313">
        <v>0.04</v>
      </c>
      <c r="AE22" s="462">
        <v>0.05</v>
      </c>
      <c r="AF22" s="320" t="b">
        <f t="shared" si="28"/>
        <v>0</v>
      </c>
      <c r="AG22" s="529" t="b">
        <f t="shared" si="29"/>
        <v>0</v>
      </c>
      <c r="AH22" s="464" t="b">
        <f t="shared" si="30"/>
        <v>0</v>
      </c>
      <c r="AI22" s="323" t="b">
        <f t="shared" si="31"/>
        <v>0</v>
      </c>
    </row>
    <row r="23" spans="2:35" ht="12" thickBot="1"/>
    <row r="24" spans="2:35" s="77" customFormat="1" ht="17.25" customHeight="1" thickBot="1">
      <c r="B24" s="616" t="s">
        <v>57</v>
      </c>
      <c r="C24" s="617"/>
      <c r="D24" s="617"/>
      <c r="E24" s="617"/>
      <c r="F24" s="617"/>
      <c r="G24" s="618"/>
      <c r="H24" s="619" t="s">
        <v>58</v>
      </c>
      <c r="I24" s="620"/>
      <c r="J24" s="620"/>
      <c r="K24" s="620"/>
      <c r="L24" s="620"/>
      <c r="M24" s="620"/>
      <c r="N24" s="620"/>
      <c r="O24" s="620"/>
      <c r="P24" s="620"/>
      <c r="Q24" s="620"/>
      <c r="R24" s="620"/>
      <c r="S24" s="620"/>
      <c r="T24" s="620"/>
      <c r="U24" s="620"/>
      <c r="V24" s="620"/>
      <c r="W24" s="620"/>
      <c r="X24" s="620"/>
      <c r="Y24" s="620"/>
      <c r="Z24" s="620"/>
      <c r="AA24" s="621"/>
    </row>
    <row r="25" spans="2:35" ht="15.75" customHeight="1" thickBot="1">
      <c r="B25" s="624" t="s">
        <v>46</v>
      </c>
      <c r="C25" s="633"/>
      <c r="D25" s="633"/>
      <c r="E25" s="634"/>
      <c r="F25" s="624" t="s">
        <v>175</v>
      </c>
      <c r="G25" s="634"/>
      <c r="H25" s="626" t="s">
        <v>47</v>
      </c>
      <c r="I25" s="627"/>
      <c r="J25" s="627"/>
      <c r="K25" s="627"/>
      <c r="L25" s="627"/>
      <c r="M25" s="627"/>
      <c r="N25" s="627"/>
      <c r="O25" s="627"/>
      <c r="P25" s="627"/>
      <c r="Q25" s="628"/>
      <c r="R25" s="626" t="s">
        <v>48</v>
      </c>
      <c r="S25" s="627"/>
      <c r="T25" s="627"/>
      <c r="U25" s="627"/>
      <c r="V25" s="627"/>
      <c r="W25" s="627"/>
      <c r="X25" s="627"/>
      <c r="Y25" s="627"/>
      <c r="Z25" s="627"/>
      <c r="AA25" s="628"/>
      <c r="AD25" s="610" t="s">
        <v>112</v>
      </c>
      <c r="AE25" s="611"/>
      <c r="AF25" s="612" t="s">
        <v>107</v>
      </c>
      <c r="AG25" s="613"/>
      <c r="AH25" s="614" t="s">
        <v>108</v>
      </c>
      <c r="AI25" s="615"/>
    </row>
    <row r="26" spans="2:35" ht="13.8" thickBot="1">
      <c r="B26" s="45" t="s">
        <v>14</v>
      </c>
      <c r="C26" s="46" t="s">
        <v>12</v>
      </c>
      <c r="D26" s="46" t="s">
        <v>173</v>
      </c>
      <c r="E26" s="285" t="s">
        <v>178</v>
      </c>
      <c r="F26" s="224" t="s">
        <v>176</v>
      </c>
      <c r="G26" s="520" t="s">
        <v>177</v>
      </c>
      <c r="H26" s="311" t="s">
        <v>49</v>
      </c>
      <c r="I26" s="306" t="s">
        <v>50</v>
      </c>
      <c r="J26" s="306" t="s">
        <v>103</v>
      </c>
      <c r="K26" s="306" t="s">
        <v>101</v>
      </c>
      <c r="L26" s="306" t="s">
        <v>102</v>
      </c>
      <c r="M26" s="306" t="s">
        <v>51</v>
      </c>
      <c r="N26" s="306" t="s">
        <v>52</v>
      </c>
      <c r="O26" s="330" t="s">
        <v>53</v>
      </c>
      <c r="P26" s="307" t="s">
        <v>54</v>
      </c>
      <c r="Q26" s="308" t="s">
        <v>54</v>
      </c>
      <c r="R26" s="311" t="s">
        <v>49</v>
      </c>
      <c r="S26" s="306" t="s">
        <v>50</v>
      </c>
      <c r="T26" s="306" t="s">
        <v>103</v>
      </c>
      <c r="U26" s="306" t="s">
        <v>101</v>
      </c>
      <c r="V26" s="306" t="s">
        <v>102</v>
      </c>
      <c r="W26" s="306" t="s">
        <v>51</v>
      </c>
      <c r="X26" s="306" t="s">
        <v>52</v>
      </c>
      <c r="Y26" s="330" t="s">
        <v>53</v>
      </c>
      <c r="Z26" s="307" t="s">
        <v>54</v>
      </c>
      <c r="AA26" s="308" t="s">
        <v>54</v>
      </c>
      <c r="AB26" s="264" t="s">
        <v>90</v>
      </c>
      <c r="AC26" s="540" t="s">
        <v>54</v>
      </c>
      <c r="AD26" s="314" t="s">
        <v>104</v>
      </c>
      <c r="AE26" s="315" t="s">
        <v>105</v>
      </c>
      <c r="AF26" s="318" t="s">
        <v>47</v>
      </c>
      <c r="AG26" s="455" t="s">
        <v>48</v>
      </c>
      <c r="AH26" s="314" t="s">
        <v>47</v>
      </c>
      <c r="AI26" s="315" t="s">
        <v>48</v>
      </c>
    </row>
    <row r="27" spans="2:35" ht="12.9" customHeight="1">
      <c r="B27" s="234">
        <f>FORMAT_FLK!$B$4</f>
        <v>57.734999999999999</v>
      </c>
      <c r="C27" s="235">
        <f>FORMAT_FLK!$C$4</f>
        <v>8.3330000000000002</v>
      </c>
      <c r="D27" s="235">
        <f>FORMAT_FLK!$D$4</f>
        <v>1</v>
      </c>
      <c r="E27" s="121">
        <f>FORMAT_FLK!$E$4</f>
        <v>2.7240000000000002</v>
      </c>
      <c r="F27" s="326">
        <f>FORMAT_FLK!H4</f>
        <v>0</v>
      </c>
      <c r="G27" s="327">
        <f>FORMAT_FLK!K4</f>
        <v>0</v>
      </c>
      <c r="H27" s="221">
        <v>0</v>
      </c>
      <c r="I27" s="222">
        <f>H27/10^0.5</f>
        <v>0</v>
      </c>
      <c r="J27" s="222">
        <v>0.25</v>
      </c>
      <c r="K27" s="222">
        <f>100*((10+31*C27*0.001)*0.000001+0.00001)/(C27*0.001)</f>
        <v>0.24310960038401536</v>
      </c>
      <c r="L27" s="222">
        <v>2.5000000000000001E-2</v>
      </c>
      <c r="M27" s="222">
        <f>(J27^2+K27^2+L27^2)^0.5</f>
        <v>0.3496101797700914</v>
      </c>
      <c r="N27" s="222">
        <f>M27</f>
        <v>0.3496101797700914</v>
      </c>
      <c r="O27" s="222">
        <f>100*0.0001/2/1</f>
        <v>5.0000000000000001E-3</v>
      </c>
      <c r="P27" s="272">
        <f>2*(I27^2+M27^2/4+N27^2/3+O27^2/3)^0.5</f>
        <v>0.5340695786730818</v>
      </c>
      <c r="Q27" s="272">
        <v>0.6</v>
      </c>
      <c r="R27" s="221">
        <v>0</v>
      </c>
      <c r="S27" s="222">
        <f>R27/10^0.5</f>
        <v>0</v>
      </c>
      <c r="T27" s="222">
        <v>0.25</v>
      </c>
      <c r="U27" s="222">
        <f>100*((10+31*C27*0.001)*0.000001+0.00001)/(C27*0.001)</f>
        <v>0.24310960038401536</v>
      </c>
      <c r="V27" s="222">
        <v>2.5000000000000001E-2</v>
      </c>
      <c r="W27" s="222">
        <f>(T27^2+U27^2+V27^2)^0.5</f>
        <v>0.3496101797700914</v>
      </c>
      <c r="X27" s="222">
        <f>W27</f>
        <v>0.3496101797700914</v>
      </c>
      <c r="Y27" s="222">
        <f>100*0.0001/2/1</f>
        <v>5.0000000000000001E-3</v>
      </c>
      <c r="Z27" s="272">
        <f>2*(S27^2+W27^2/4+X27^2/3+Y27^2/3)^0.5</f>
        <v>0.5340695786730818</v>
      </c>
      <c r="AA27" s="272">
        <v>0.6</v>
      </c>
      <c r="AB27" s="155">
        <f>AA27*0.01*1</f>
        <v>6.0000000000000001E-3</v>
      </c>
      <c r="AC27" s="535">
        <f>IF(AA27&gt;Q27,AA27,Q27)</f>
        <v>0.6</v>
      </c>
      <c r="AD27" s="312">
        <v>0.04</v>
      </c>
      <c r="AE27" s="458">
        <v>0.05</v>
      </c>
      <c r="AF27" s="319" t="b">
        <f>IF(ABS(1-F27)&lt;AD27,TRUE,FALSE)</f>
        <v>0</v>
      </c>
      <c r="AG27" s="528" t="b">
        <f>IF(ABS(1-G27)&lt;AD27,TRUE,FALSE)</f>
        <v>0</v>
      </c>
      <c r="AH27" s="463" t="b">
        <f>IF(ABS(1-F27)&lt;AE27,TRUE,FALSE)</f>
        <v>0</v>
      </c>
      <c r="AI27" s="322" t="b">
        <f>IF(ABS(1-G27)&lt;AE27,TRUE,FALSE)</f>
        <v>0</v>
      </c>
    </row>
    <row r="28" spans="2:35" ht="12.9" customHeight="1">
      <c r="B28" s="236">
        <f>FORMAT_FLK!$B$5</f>
        <v>57.734999999999999</v>
      </c>
      <c r="C28" s="237">
        <f>FORMAT_FLK!$C$5</f>
        <v>16.666</v>
      </c>
      <c r="D28" s="237">
        <f>FORMAT_FLK!$D$5</f>
        <v>2</v>
      </c>
      <c r="E28" s="122">
        <f>FORMAT_FLK!$E$5</f>
        <v>2.2109999999999999</v>
      </c>
      <c r="F28" s="273">
        <f>FORMAT_FLK!H5</f>
        <v>0</v>
      </c>
      <c r="G28" s="298">
        <f>FORMAT_FLK!K5</f>
        <v>0</v>
      </c>
      <c r="H28" s="200">
        <v>0</v>
      </c>
      <c r="I28" s="199">
        <f t="shared" ref="I28:I33" si="32">H28/10^0.5</f>
        <v>0</v>
      </c>
      <c r="J28" s="199">
        <v>0.25</v>
      </c>
      <c r="K28" s="199">
        <f t="shared" ref="K28:K33" si="33">100*((10+31*C28*0.001)*0.000001+0.00001)/(C28*0.001)</f>
        <v>0.12310480019200766</v>
      </c>
      <c r="L28" s="199">
        <v>2.5000000000000001E-2</v>
      </c>
      <c r="M28" s="199">
        <f t="shared" ref="M28:M33" si="34">(J28^2+K28^2+L28^2)^0.5</f>
        <v>0.27978526020917205</v>
      </c>
      <c r="N28" s="222">
        <f t="shared" ref="N28:N33" si="35">M28</f>
        <v>0.27978526020917205</v>
      </c>
      <c r="O28" s="199">
        <f>100*0.0001/2/1</f>
        <v>5.0000000000000001E-3</v>
      </c>
      <c r="P28" s="272">
        <f t="shared" ref="P28:P33" si="36">2*(I28^2+M28^2/4+N28^2/3+O28^2/3)^0.5</f>
        <v>0.42741804002334716</v>
      </c>
      <c r="Q28" s="324">
        <v>0.7</v>
      </c>
      <c r="R28" s="200">
        <v>0</v>
      </c>
      <c r="S28" s="199">
        <f t="shared" ref="S28:S33" si="37">R28/10^0.5</f>
        <v>0</v>
      </c>
      <c r="T28" s="199">
        <v>0.25</v>
      </c>
      <c r="U28" s="222">
        <f t="shared" ref="U28:U33" si="38">100*((10+31*C28*0.001)*0.000001+0.00001)/(C28*0.001)</f>
        <v>0.12310480019200766</v>
      </c>
      <c r="V28" s="199">
        <v>2.5000000000000001E-2</v>
      </c>
      <c r="W28" s="199">
        <f t="shared" ref="W28:W33" si="39">(T28^2+U28^2+V28^2)^0.5</f>
        <v>0.27978526020917205</v>
      </c>
      <c r="X28" s="222">
        <f t="shared" ref="X28:X33" si="40">W28</f>
        <v>0.27978526020917205</v>
      </c>
      <c r="Y28" s="199">
        <f>100*0.0001/2/1</f>
        <v>5.0000000000000001E-3</v>
      </c>
      <c r="Z28" s="272">
        <f t="shared" ref="Z28:Z33" si="41">2*(S28^2+W28^2/4+X28^2/3+Y28^2/3)^0.5</f>
        <v>0.42741804002334716</v>
      </c>
      <c r="AA28" s="324">
        <v>0.7</v>
      </c>
      <c r="AB28" s="156">
        <f t="shared" ref="AB28:AB33" si="42">AA28*0.01*1</f>
        <v>6.9999999999999993E-3</v>
      </c>
      <c r="AC28" s="541">
        <f t="shared" ref="AC28:AC33" si="43">IF(AA28&gt;Q28,AA28,Q28)</f>
        <v>0.7</v>
      </c>
      <c r="AD28" s="312">
        <v>0.04</v>
      </c>
      <c r="AE28" s="458">
        <v>0.05</v>
      </c>
      <c r="AF28" s="319" t="b">
        <f t="shared" ref="AF28:AF33" si="44">IF(ABS(1-F28)&lt;AD28,TRUE,FALSE)</f>
        <v>0</v>
      </c>
      <c r="AG28" s="528" t="b">
        <f t="shared" ref="AG28:AG33" si="45">IF(ABS(1-G28)&lt;AD28,TRUE,FALSE)</f>
        <v>0</v>
      </c>
      <c r="AH28" s="463" t="b">
        <f t="shared" ref="AH28:AH33" si="46">IF(ABS(1-F28)&lt;AE28,TRUE,FALSE)</f>
        <v>0</v>
      </c>
      <c r="AI28" s="322" t="b">
        <f t="shared" ref="AI28:AI33" si="47">IF(ABS(1-G28)&lt;AE28,TRUE,FALSE)</f>
        <v>0</v>
      </c>
    </row>
    <row r="29" spans="2:35" ht="12.9" customHeight="1">
      <c r="B29" s="236">
        <f>FORMAT_FLK!$B$6</f>
        <v>57.734999999999999</v>
      </c>
      <c r="C29" s="237">
        <f>FORMAT_FLK!$C$6</f>
        <v>58.332999999999998</v>
      </c>
      <c r="D29" s="237">
        <f>FORMAT_FLK!$D$6</f>
        <v>7</v>
      </c>
      <c r="E29" s="122">
        <f>FORMAT_FLK!$E$6</f>
        <v>1.4590000000000001</v>
      </c>
      <c r="F29" s="273">
        <f>FORMAT_FLK!H6</f>
        <v>0</v>
      </c>
      <c r="G29" s="298">
        <f>FORMAT_FLK!K6</f>
        <v>0</v>
      </c>
      <c r="H29" s="200">
        <v>0</v>
      </c>
      <c r="I29" s="199">
        <f t="shared" si="32"/>
        <v>0</v>
      </c>
      <c r="J29" s="199">
        <v>0.25</v>
      </c>
      <c r="K29" s="199">
        <f t="shared" si="33"/>
        <v>3.7385910205201177E-2</v>
      </c>
      <c r="L29" s="199">
        <v>2.5000000000000001E-2</v>
      </c>
      <c r="M29" s="199">
        <f t="shared" si="34"/>
        <v>0.25401320099922242</v>
      </c>
      <c r="N29" s="222">
        <f t="shared" si="35"/>
        <v>0.25401320099922242</v>
      </c>
      <c r="O29" s="199">
        <f>100*0.0001/2/1</f>
        <v>5.0000000000000001E-3</v>
      </c>
      <c r="P29" s="272">
        <f t="shared" si="36"/>
        <v>0.38805452536686114</v>
      </c>
      <c r="Q29" s="324">
        <v>0.98</v>
      </c>
      <c r="R29" s="200">
        <v>0</v>
      </c>
      <c r="S29" s="199">
        <f t="shared" si="37"/>
        <v>0</v>
      </c>
      <c r="T29" s="199">
        <v>0.25</v>
      </c>
      <c r="U29" s="222">
        <f t="shared" si="38"/>
        <v>3.7385910205201177E-2</v>
      </c>
      <c r="V29" s="199">
        <v>2.5000000000000001E-2</v>
      </c>
      <c r="W29" s="199">
        <f t="shared" si="39"/>
        <v>0.25401320099922242</v>
      </c>
      <c r="X29" s="222">
        <f t="shared" si="40"/>
        <v>0.25401320099922242</v>
      </c>
      <c r="Y29" s="199">
        <f>100*0.0001/2/1</f>
        <v>5.0000000000000001E-3</v>
      </c>
      <c r="Z29" s="272">
        <f t="shared" si="41"/>
        <v>0.38805452536686114</v>
      </c>
      <c r="AA29" s="324">
        <v>0.98</v>
      </c>
      <c r="AB29" s="156">
        <f t="shared" si="42"/>
        <v>9.7999999999999997E-3</v>
      </c>
      <c r="AC29" s="541">
        <f t="shared" si="43"/>
        <v>0.98</v>
      </c>
      <c r="AD29" s="312">
        <v>0.04</v>
      </c>
      <c r="AE29" s="458">
        <v>0.05</v>
      </c>
      <c r="AF29" s="319" t="b">
        <f t="shared" si="44"/>
        <v>0</v>
      </c>
      <c r="AG29" s="528" t="b">
        <f t="shared" si="45"/>
        <v>0</v>
      </c>
      <c r="AH29" s="463" t="b">
        <f t="shared" si="46"/>
        <v>0</v>
      </c>
      <c r="AI29" s="322" t="b">
        <f t="shared" si="47"/>
        <v>0</v>
      </c>
    </row>
    <row r="30" spans="2:35" ht="12.9" customHeight="1">
      <c r="B30" s="236">
        <f>FORMAT_FLK!$B$7</f>
        <v>57.734999999999999</v>
      </c>
      <c r="C30" s="237">
        <f>FORMAT_FLK!$C$7</f>
        <v>325</v>
      </c>
      <c r="D30" s="237">
        <f>FORMAT_FLK!$D$7</f>
        <v>39</v>
      </c>
      <c r="E30" s="122">
        <f>FORMAT_FLK!$E$7</f>
        <v>0.90600000000000003</v>
      </c>
      <c r="F30" s="274">
        <f>FORMAT_FLK!H7</f>
        <v>0</v>
      </c>
      <c r="G30" s="300">
        <f>FORMAT_FLK!K7</f>
        <v>0</v>
      </c>
      <c r="H30" s="200">
        <v>0</v>
      </c>
      <c r="I30" s="199">
        <f t="shared" si="32"/>
        <v>0</v>
      </c>
      <c r="J30" s="199">
        <v>0.25</v>
      </c>
      <c r="K30" s="199">
        <f t="shared" si="33"/>
        <v>9.2538461538461559E-3</v>
      </c>
      <c r="L30" s="199">
        <v>2.5000000000000001E-2</v>
      </c>
      <c r="M30" s="199">
        <f t="shared" si="34"/>
        <v>0.2514172501413518</v>
      </c>
      <c r="N30" s="222">
        <f t="shared" si="35"/>
        <v>0.2514172501413518</v>
      </c>
      <c r="O30" s="199">
        <f>100*0.001/2/1</f>
        <v>0.05</v>
      </c>
      <c r="P30" s="272">
        <f t="shared" si="36"/>
        <v>0.38836170240317358</v>
      </c>
      <c r="Q30" s="343">
        <v>1.2</v>
      </c>
      <c r="R30" s="200">
        <v>0</v>
      </c>
      <c r="S30" s="199">
        <f t="shared" si="37"/>
        <v>0</v>
      </c>
      <c r="T30" s="199">
        <v>0.25</v>
      </c>
      <c r="U30" s="222">
        <f t="shared" si="38"/>
        <v>9.2538461538461559E-3</v>
      </c>
      <c r="V30" s="199">
        <v>2.5000000000000001E-2</v>
      </c>
      <c r="W30" s="199">
        <f t="shared" si="39"/>
        <v>0.2514172501413518</v>
      </c>
      <c r="X30" s="222">
        <f t="shared" si="40"/>
        <v>0.2514172501413518</v>
      </c>
      <c r="Y30" s="199">
        <f>100*0.001/2/1</f>
        <v>0.05</v>
      </c>
      <c r="Z30" s="272">
        <f t="shared" si="41"/>
        <v>0.38836170240317358</v>
      </c>
      <c r="AA30" s="343">
        <v>1.2</v>
      </c>
      <c r="AB30" s="266">
        <f t="shared" si="42"/>
        <v>1.2E-2</v>
      </c>
      <c r="AC30" s="541">
        <f t="shared" si="43"/>
        <v>1.2</v>
      </c>
      <c r="AD30" s="312">
        <v>0.04</v>
      </c>
      <c r="AE30" s="458">
        <v>0.05</v>
      </c>
      <c r="AF30" s="319" t="b">
        <f t="shared" si="44"/>
        <v>0</v>
      </c>
      <c r="AG30" s="528" t="b">
        <f t="shared" si="45"/>
        <v>0</v>
      </c>
      <c r="AH30" s="463" t="b">
        <f t="shared" si="46"/>
        <v>0</v>
      </c>
      <c r="AI30" s="322" t="b">
        <f t="shared" si="47"/>
        <v>0</v>
      </c>
    </row>
    <row r="31" spans="2:35" ht="12.9" customHeight="1">
      <c r="B31" s="236">
        <f>FORMAT_FLK!$B$8</f>
        <v>57.734999999999999</v>
      </c>
      <c r="C31" s="237">
        <f>FORMAT_FLK!$C$8</f>
        <v>916.66700000000003</v>
      </c>
      <c r="D31" s="237">
        <f>FORMAT_FLK!$D$8</f>
        <v>110</v>
      </c>
      <c r="E31" s="122">
        <f>FORMAT_FLK!$E$8</f>
        <v>0.72499999999999998</v>
      </c>
      <c r="F31" s="274">
        <f>FORMAT_FLK!H8</f>
        <v>0</v>
      </c>
      <c r="G31" s="300">
        <f>FORMAT_FLK!K8</f>
        <v>0</v>
      </c>
      <c r="H31" s="200">
        <v>0</v>
      </c>
      <c r="I31" s="199">
        <f t="shared" si="32"/>
        <v>0</v>
      </c>
      <c r="J31" s="199">
        <v>0.25</v>
      </c>
      <c r="K31" s="199">
        <f t="shared" si="33"/>
        <v>5.2818173884300402E-3</v>
      </c>
      <c r="L31" s="199">
        <v>2.5000000000000001E-2</v>
      </c>
      <c r="M31" s="199">
        <f t="shared" si="34"/>
        <v>0.25130240268434506</v>
      </c>
      <c r="N31" s="222">
        <f t="shared" si="35"/>
        <v>0.25130240268434506</v>
      </c>
      <c r="O31" s="199">
        <f>100*0.001/2/1</f>
        <v>0.05</v>
      </c>
      <c r="P31" s="272">
        <f t="shared" si="36"/>
        <v>0.38818822031091782</v>
      </c>
      <c r="Q31" s="343">
        <v>1.5</v>
      </c>
      <c r="R31" s="200">
        <v>0</v>
      </c>
      <c r="S31" s="199">
        <f t="shared" si="37"/>
        <v>0</v>
      </c>
      <c r="T31" s="199">
        <v>0.25</v>
      </c>
      <c r="U31" s="222">
        <f t="shared" si="38"/>
        <v>5.2818173884300402E-3</v>
      </c>
      <c r="V31" s="199">
        <v>2.5000000000000001E-2</v>
      </c>
      <c r="W31" s="199">
        <f t="shared" si="39"/>
        <v>0.25130240268434506</v>
      </c>
      <c r="X31" s="222">
        <f t="shared" si="40"/>
        <v>0.25130240268434506</v>
      </c>
      <c r="Y31" s="199">
        <f>100*0.001/2/1</f>
        <v>0.05</v>
      </c>
      <c r="Z31" s="272">
        <f t="shared" si="41"/>
        <v>0.38818822031091782</v>
      </c>
      <c r="AA31" s="343">
        <v>1.5</v>
      </c>
      <c r="AB31" s="266">
        <f t="shared" si="42"/>
        <v>1.4999999999999999E-2</v>
      </c>
      <c r="AC31" s="541">
        <f t="shared" si="43"/>
        <v>1.5</v>
      </c>
      <c r="AD31" s="312">
        <v>0.04</v>
      </c>
      <c r="AE31" s="458">
        <v>0.05</v>
      </c>
      <c r="AF31" s="319" t="b">
        <f t="shared" si="44"/>
        <v>0</v>
      </c>
      <c r="AG31" s="528" t="b">
        <f t="shared" si="45"/>
        <v>0</v>
      </c>
      <c r="AH31" s="463" t="b">
        <f t="shared" si="46"/>
        <v>0</v>
      </c>
      <c r="AI31" s="322" t="b">
        <f t="shared" si="47"/>
        <v>0</v>
      </c>
    </row>
    <row r="32" spans="2:35" ht="12.9" customHeight="1">
      <c r="B32" s="236">
        <f>FORMAT_FLK!$B$9</f>
        <v>57.734999999999999</v>
      </c>
      <c r="C32" s="237">
        <f>FORMAT_FLK!$C$9</f>
        <v>13500</v>
      </c>
      <c r="D32" s="237">
        <f>FORMAT_FLK!$D$9</f>
        <v>1620</v>
      </c>
      <c r="E32" s="122">
        <f>FORMAT_FLK!$E$9</f>
        <v>0.40200000000000002</v>
      </c>
      <c r="F32" s="274">
        <f>FORMAT_FLK!H9</f>
        <v>0</v>
      </c>
      <c r="G32" s="300">
        <f>FORMAT_FLK!K9</f>
        <v>0</v>
      </c>
      <c r="H32" s="200">
        <v>0</v>
      </c>
      <c r="I32" s="199">
        <f t="shared" si="32"/>
        <v>0</v>
      </c>
      <c r="J32" s="199">
        <v>0.25</v>
      </c>
      <c r="K32" s="199">
        <f t="shared" si="33"/>
        <v>3.248148148148148E-3</v>
      </c>
      <c r="L32" s="199">
        <v>2.5000000000000001E-2</v>
      </c>
      <c r="M32" s="199">
        <f t="shared" si="34"/>
        <v>0.25126788586365811</v>
      </c>
      <c r="N32" s="222">
        <f t="shared" si="35"/>
        <v>0.25126788586365811</v>
      </c>
      <c r="O32" s="199">
        <f>100*0.001/2/1</f>
        <v>0.05</v>
      </c>
      <c r="P32" s="272">
        <f t="shared" si="36"/>
        <v>0.3881360814906486</v>
      </c>
      <c r="Q32" s="343">
        <v>2.7</v>
      </c>
      <c r="R32" s="200">
        <v>0</v>
      </c>
      <c r="S32" s="199">
        <f t="shared" si="37"/>
        <v>0</v>
      </c>
      <c r="T32" s="199">
        <v>0.25</v>
      </c>
      <c r="U32" s="222">
        <f t="shared" si="38"/>
        <v>3.248148148148148E-3</v>
      </c>
      <c r="V32" s="199">
        <v>2.5000000000000001E-2</v>
      </c>
      <c r="W32" s="199">
        <f t="shared" si="39"/>
        <v>0.25126788586365811</v>
      </c>
      <c r="X32" s="222">
        <f t="shared" si="40"/>
        <v>0.25126788586365811</v>
      </c>
      <c r="Y32" s="199">
        <f>100*0.001/2/1</f>
        <v>0.05</v>
      </c>
      <c r="Z32" s="272">
        <f t="shared" si="41"/>
        <v>0.3881360814906486</v>
      </c>
      <c r="AA32" s="343">
        <v>2.7</v>
      </c>
      <c r="AB32" s="266">
        <f t="shared" si="42"/>
        <v>2.7000000000000003E-2</v>
      </c>
      <c r="AC32" s="541">
        <f t="shared" si="43"/>
        <v>2.7</v>
      </c>
      <c r="AD32" s="312">
        <v>0.04</v>
      </c>
      <c r="AE32" s="458">
        <v>0.05</v>
      </c>
      <c r="AF32" s="319" t="b">
        <f t="shared" si="44"/>
        <v>0</v>
      </c>
      <c r="AG32" s="528" t="b">
        <f t="shared" si="45"/>
        <v>0</v>
      </c>
      <c r="AH32" s="463" t="b">
        <f t="shared" si="46"/>
        <v>0</v>
      </c>
      <c r="AI32" s="322" t="b">
        <f t="shared" si="47"/>
        <v>0</v>
      </c>
    </row>
    <row r="33" spans="2:35" ht="12.9" customHeight="1" thickBot="1">
      <c r="B33" s="238">
        <f>FORMAT_FLK!$B$10</f>
        <v>57.734999999999999</v>
      </c>
      <c r="C33" s="239">
        <f>FORMAT_FLK!$C$10</f>
        <v>33333</v>
      </c>
      <c r="D33" s="239">
        <f>FORMAT_FLK!$D$10</f>
        <v>4000</v>
      </c>
      <c r="E33" s="123">
        <f>FORMAT_FLK!$E$10</f>
        <v>2.4</v>
      </c>
      <c r="F33" s="328">
        <f>FORMAT_FLK!H10</f>
        <v>0</v>
      </c>
      <c r="G33" s="329">
        <f>FORMAT_FLK!K10</f>
        <v>0</v>
      </c>
      <c r="H33" s="201">
        <v>0</v>
      </c>
      <c r="I33" s="211">
        <f t="shared" si="32"/>
        <v>0</v>
      </c>
      <c r="J33" s="211">
        <v>0.25</v>
      </c>
      <c r="K33" s="211">
        <f t="shared" si="33"/>
        <v>3.1600006000060007E-3</v>
      </c>
      <c r="L33" s="211">
        <v>2.5000000000000001E-2</v>
      </c>
      <c r="M33" s="211">
        <f t="shared" si="34"/>
        <v>0.25126676183648333</v>
      </c>
      <c r="N33" s="309">
        <f t="shared" si="35"/>
        <v>0.25126676183648333</v>
      </c>
      <c r="O33" s="211">
        <f>100*0.0001/2/1</f>
        <v>5.0000000000000001E-3</v>
      </c>
      <c r="P33" s="310">
        <f t="shared" si="36"/>
        <v>0.38385973967346643</v>
      </c>
      <c r="Q33" s="325">
        <v>0.5</v>
      </c>
      <c r="R33" s="201">
        <v>0</v>
      </c>
      <c r="S33" s="211">
        <f t="shared" si="37"/>
        <v>0</v>
      </c>
      <c r="T33" s="211">
        <v>0.25</v>
      </c>
      <c r="U33" s="211">
        <f t="shared" si="38"/>
        <v>3.1600006000060007E-3</v>
      </c>
      <c r="V33" s="211">
        <v>2.5000000000000001E-2</v>
      </c>
      <c r="W33" s="211">
        <f t="shared" si="39"/>
        <v>0.25126676183648333</v>
      </c>
      <c r="X33" s="309">
        <f t="shared" si="40"/>
        <v>0.25126676183648333</v>
      </c>
      <c r="Y33" s="211">
        <f>100*0.0001/2/1</f>
        <v>5.0000000000000001E-3</v>
      </c>
      <c r="Z33" s="310">
        <f t="shared" si="41"/>
        <v>0.38385973967346643</v>
      </c>
      <c r="AA33" s="325">
        <v>0.5</v>
      </c>
      <c r="AB33" s="158">
        <f t="shared" si="42"/>
        <v>5.0000000000000001E-3</v>
      </c>
      <c r="AC33" s="542">
        <f t="shared" si="43"/>
        <v>0.5</v>
      </c>
      <c r="AD33" s="313">
        <v>0.04</v>
      </c>
      <c r="AE33" s="462">
        <v>0.05</v>
      </c>
      <c r="AF33" s="320" t="b">
        <f t="shared" si="44"/>
        <v>0</v>
      </c>
      <c r="AG33" s="529" t="b">
        <f t="shared" si="45"/>
        <v>0</v>
      </c>
      <c r="AH33" s="464" t="b">
        <f t="shared" si="46"/>
        <v>0</v>
      </c>
      <c r="AI33" s="323" t="b">
        <f t="shared" si="47"/>
        <v>0</v>
      </c>
    </row>
  </sheetData>
  <mergeCells count="28">
    <mergeCell ref="B1:AA1"/>
    <mergeCell ref="B2:G2"/>
    <mergeCell ref="B3:E3"/>
    <mergeCell ref="F3:G3"/>
    <mergeCell ref="H3:Q3"/>
    <mergeCell ref="R3:AA3"/>
    <mergeCell ref="H2:AA2"/>
    <mergeCell ref="B13:G13"/>
    <mergeCell ref="B14:E14"/>
    <mergeCell ref="F14:G14"/>
    <mergeCell ref="H14:Q14"/>
    <mergeCell ref="R14:AA14"/>
    <mergeCell ref="H13:AA13"/>
    <mergeCell ref="B24:G24"/>
    <mergeCell ref="B25:E25"/>
    <mergeCell ref="F25:G25"/>
    <mergeCell ref="H25:Q25"/>
    <mergeCell ref="R25:AA25"/>
    <mergeCell ref="H24:AA24"/>
    <mergeCell ref="AD25:AE25"/>
    <mergeCell ref="AF25:AG25"/>
    <mergeCell ref="AH25:AI25"/>
    <mergeCell ref="AD3:AE3"/>
    <mergeCell ref="AF3:AG3"/>
    <mergeCell ref="AH3:AI3"/>
    <mergeCell ref="AD14:AE14"/>
    <mergeCell ref="AF14:AG14"/>
    <mergeCell ref="AH14:AI14"/>
  </mergeCells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16</vt:i4>
      </vt:variant>
    </vt:vector>
  </HeadingPairs>
  <TitlesOfParts>
    <vt:vector size="16" baseType="lpstr">
      <vt:lpstr>FORMAT_f</vt:lpstr>
      <vt:lpstr>FORMAT_V</vt:lpstr>
      <vt:lpstr>FORMAT_I</vt:lpstr>
      <vt:lpstr>FORMAT_P</vt:lpstr>
      <vt:lpstr>FORMAT_Q</vt:lpstr>
      <vt:lpstr>FORMAT_HAR_I</vt:lpstr>
      <vt:lpstr>FORMAT_HAR_V</vt:lpstr>
      <vt:lpstr>FORMAT_FLK</vt:lpstr>
      <vt:lpstr>f</vt:lpstr>
      <vt:lpstr>V</vt:lpstr>
      <vt:lpstr>I</vt:lpstr>
      <vt:lpstr>P</vt:lpstr>
      <vt:lpstr>Q</vt:lpstr>
      <vt:lpstr>HAR_I</vt:lpstr>
      <vt:lpstr>HAR_V</vt:lpstr>
      <vt:lpstr>FLK</vt:lpstr>
    </vt:vector>
  </TitlesOfParts>
  <Company>ume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G1PE</dc:creator>
  <cp:lastModifiedBy>G1PE</cp:lastModifiedBy>
  <dcterms:created xsi:type="dcterms:W3CDTF">2013-10-09T12:45:19Z</dcterms:created>
  <dcterms:modified xsi:type="dcterms:W3CDTF">2015-10-02T14:58:54Z</dcterms:modified>
</cp:coreProperties>
</file>